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  <xf numFmtId="0" fontId="3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/>
    </xf>
  </cellXfs>
  <cellStyles count="1">
    <cellStyle name="Normal" xfId="0" builtinId="0"/>
  </cellStyles>
  <dxfs count="8">
    <dxf>
      <numFmt numFmtId="25" formatCode="hh:mm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J29" headerRowCount="1">
  <tableColumns count="10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10" name="Contratacion" dataDxfId="0"/>
    <tableColumn id="7" name="Horario corrido"/>
    <tableColumn id="8" name="Dias"/>
    <tableColumn id="9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7">
      <calculatedColumnFormula>IF(A2="","",IFERROR(VLOOKUP(A2,Empleados!A:B,2,FALSE),""))</calculatedColumnFormula>
    </tableColumn>
    <tableColumn id="3" name="Grupo (auto)" dataDxfId="6">
      <calculatedColumnFormula>IF(A2="","",IFERROR(VLOOKUP(A2,Empleados!A:J,9,FALSE),""))</calculatedColumnFormula>
    </tableColumn>
    <tableColumn id="4" name="Días laborales (auto)" dataDxfId="5">
      <calculatedColumnFormula>IF(A2="","",IFERROR(VLOOKUP(A2,Empleados!A:I,8,FALSE),""))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570"/>
  <sheetViews>
    <sheetView tabSelected="1" topLeftCell="A2" workbookViewId="0">
      <selection activeCell="F32" sqref="F32"/>
    </sheetView>
  </sheetViews>
  <sheetFormatPr baseColWidth="10" defaultRowHeight="14.4"/>
  <cols>
    <col width="10" customWidth="1" style="1" min="1" max="1"/>
    <col width="28" customWidth="1" style="1" min="2" max="2"/>
    <col width="18" customWidth="1" style="1" min="3" max="6"/>
    <col width="18" customWidth="1" style="15" min="7" max="7"/>
    <col width="16" customWidth="1" style="1" min="8" max="8"/>
    <col width="22.33203125" bestFit="1" customWidth="1" style="1" min="9" max="9"/>
    <col width="20" customWidth="1" style="1" min="10" max="10"/>
  </cols>
  <sheetData>
    <row r="1" ht="28.95" customHeight="1">
      <c r="A1" s="4" t="inlineStr">
        <is>
          <t>Id</t>
        </is>
      </c>
      <c r="B1" s="4" t="inlineStr">
        <is>
          <t>Nombre</t>
        </is>
      </c>
      <c r="C1" s="4" t="inlineStr">
        <is>
          <t>horario ingreso Mañana</t>
        </is>
      </c>
      <c r="D1" s="4" t="inlineStr">
        <is>
          <t>Horario salida Mañana</t>
        </is>
      </c>
      <c r="E1" s="4" t="inlineStr">
        <is>
          <t>Horario Ingreso Tarde</t>
        </is>
      </c>
      <c r="F1" s="4" t="inlineStr">
        <is>
          <t>Horario Salida Tarde</t>
        </is>
      </c>
      <c r="G1" s="4" t="inlineStr">
        <is>
          <t>Contratacion</t>
        </is>
      </c>
      <c r="H1" s="4" t="inlineStr">
        <is>
          <t>Horario corrido</t>
        </is>
      </c>
      <c r="I1" s="4" t="inlineStr">
        <is>
          <t>Dias</t>
        </is>
      </c>
      <c r="J1" s="4" t="inlineStr">
        <is>
          <t>grupo</t>
        </is>
      </c>
    </row>
    <row r="2" customFormat="1" s="11">
      <c r="A2" s="5" t="n">
        <v>1</v>
      </c>
      <c r="B2" s="2" t="inlineStr">
        <is>
          <t>Todos</t>
        </is>
      </c>
      <c r="C2" s="3" t="n"/>
      <c r="D2" s="3" t="n"/>
      <c r="E2" s="3" t="n"/>
      <c r="F2" s="3" t="n"/>
      <c r="G2" s="3" t="n"/>
      <c r="H2" s="2" t="n"/>
      <c r="I2" s="2" t="n"/>
      <c r="J2" s="2" t="n"/>
    </row>
    <row r="3">
      <c r="A3" s="5" t="n">
        <v>20</v>
      </c>
      <c r="B3" s="2" t="inlineStr">
        <is>
          <t>De Carli Gonzalo</t>
        </is>
      </c>
      <c r="C3" s="3" t="n">
        <v>0.3125</v>
      </c>
      <c r="D3" s="3" t="n">
        <v>0.5</v>
      </c>
      <c r="E3" s="3" t="n">
        <v>0.5520833333333334</v>
      </c>
      <c r="F3" s="3" t="n">
        <v>0.7395833333333334</v>
      </c>
      <c r="G3" s="3" t="inlineStr">
        <is>
          <t>Mensual</t>
        </is>
      </c>
      <c r="H3" s="2" t="inlineStr">
        <is>
          <t>NO</t>
        </is>
      </c>
      <c r="I3" s="2" t="inlineStr">
        <is>
          <t>lunes a viernes</t>
        </is>
      </c>
      <c r="J3" s="2" t="inlineStr">
        <is>
          <t>Administracion</t>
        </is>
      </c>
    </row>
    <row r="4">
      <c r="A4" s="5" t="n">
        <v>43</v>
      </c>
      <c r="B4" s="2" t="inlineStr">
        <is>
          <t>Vanegas Leandro</t>
        </is>
      </c>
      <c r="C4" s="3" t="n">
        <v>0.2708333333333333</v>
      </c>
      <c r="D4" s="3" t="n">
        <v>0.5</v>
      </c>
      <c r="E4" s="3" t="n">
        <v>0.5625</v>
      </c>
      <c r="F4" s="3" t="n">
        <v>0.75</v>
      </c>
      <c r="G4" s="3" t="inlineStr">
        <is>
          <t>Quincenal</t>
        </is>
      </c>
      <c r="H4" s="2" t="inlineStr">
        <is>
          <t>NO</t>
        </is>
      </c>
      <c r="I4" s="2" t="inlineStr">
        <is>
          <t>lunes a viernes</t>
        </is>
      </c>
      <c r="J4" s="2" t="inlineStr">
        <is>
          <t>Metalurgica</t>
        </is>
      </c>
    </row>
    <row r="5">
      <c r="A5" s="5" t="n">
        <v>51</v>
      </c>
      <c r="B5" s="2" t="inlineStr">
        <is>
          <t>Quignard Fernando</t>
        </is>
      </c>
      <c r="C5" s="3" t="n">
        <v>0.2708333333333333</v>
      </c>
      <c r="D5" s="3" t="n">
        <v>0.5</v>
      </c>
      <c r="E5" s="3" t="n">
        <v>0.5625</v>
      </c>
      <c r="F5" s="3" t="n">
        <v>0.75</v>
      </c>
      <c r="G5" s="3" t="inlineStr">
        <is>
          <t>Quincenal</t>
        </is>
      </c>
      <c r="H5" s="2" t="inlineStr">
        <is>
          <t>NO</t>
        </is>
      </c>
      <c r="I5" s="2" t="inlineStr">
        <is>
          <t>lunes a viernes</t>
        </is>
      </c>
      <c r="J5" s="2" t="inlineStr">
        <is>
          <t>Metalurgica</t>
        </is>
      </c>
    </row>
    <row r="6">
      <c r="A6" s="5" t="n">
        <v>52</v>
      </c>
      <c r="B6" s="2" t="inlineStr">
        <is>
          <t>Mario Butto</t>
        </is>
      </c>
      <c r="C6" s="3" t="n">
        <v>0.2708333333333333</v>
      </c>
      <c r="D6" s="3" t="n">
        <v>0.5</v>
      </c>
      <c r="E6" s="3" t="n">
        <v>0.5625</v>
      </c>
      <c r="F6" s="3" t="n">
        <v>0.75</v>
      </c>
      <c r="G6" s="3" t="inlineStr">
        <is>
          <t>Quincenal</t>
        </is>
      </c>
      <c r="H6" s="2" t="inlineStr">
        <is>
          <t>NO</t>
        </is>
      </c>
      <c r="I6" s="2" t="inlineStr">
        <is>
          <t>lunes a viernes</t>
        </is>
      </c>
      <c r="J6" s="2" t="inlineStr">
        <is>
          <t>Metalurgica</t>
        </is>
      </c>
    </row>
    <row r="7">
      <c r="A7" s="5" t="n">
        <v>67</v>
      </c>
      <c r="B7" s="2" t="inlineStr">
        <is>
          <t>Madera Adrián</t>
        </is>
      </c>
      <c r="C7" s="3" t="n">
        <v>0.2708333333333333</v>
      </c>
      <c r="D7" s="3" t="n">
        <v>0.5</v>
      </c>
      <c r="E7" s="3" t="n">
        <v>0.5625</v>
      </c>
      <c r="F7" s="3" t="n">
        <v>0.75</v>
      </c>
      <c r="G7" s="3" t="inlineStr">
        <is>
          <t>Quincenal</t>
        </is>
      </c>
      <c r="H7" s="2" t="inlineStr">
        <is>
          <t>NO</t>
        </is>
      </c>
      <c r="I7" s="2" t="inlineStr">
        <is>
          <t>lunes a viernes</t>
        </is>
      </c>
      <c r="J7" s="2" t="inlineStr">
        <is>
          <t>Metalurgica</t>
        </is>
      </c>
    </row>
    <row r="8">
      <c r="A8" s="5" t="n">
        <v>79</v>
      </c>
      <c r="B8" s="2" t="inlineStr">
        <is>
          <t>Zarate Olivera Luis</t>
        </is>
      </c>
      <c r="C8" s="3" t="n">
        <v>0.3125</v>
      </c>
      <c r="D8" s="3" t="n">
        <v>0.5</v>
      </c>
      <c r="E8" s="3" t="n">
        <v>0.5625</v>
      </c>
      <c r="F8" s="3" t="n">
        <v>0.75</v>
      </c>
      <c r="G8" s="3" t="inlineStr">
        <is>
          <t>Quincenal</t>
        </is>
      </c>
      <c r="H8" s="2" t="inlineStr">
        <is>
          <t>NO</t>
        </is>
      </c>
      <c r="I8" s="2" t="inlineStr">
        <is>
          <t>lunes a viernes</t>
        </is>
      </c>
      <c r="J8" s="2" t="inlineStr">
        <is>
          <t>Taller</t>
        </is>
      </c>
    </row>
    <row r="9">
      <c r="A9" s="5" t="n">
        <v>82</v>
      </c>
      <c r="B9" s="2" t="inlineStr">
        <is>
          <t>Godoy Denis</t>
        </is>
      </c>
      <c r="C9" s="3" t="n">
        <v>0.2708333333333333</v>
      </c>
      <c r="D9" s="3" t="n">
        <v>0.5</v>
      </c>
      <c r="E9" s="3" t="n">
        <v>0.5625</v>
      </c>
      <c r="F9" s="3" t="n">
        <v>0.75</v>
      </c>
      <c r="G9" s="3" t="inlineStr">
        <is>
          <t>Quincenal</t>
        </is>
      </c>
      <c r="H9" s="2" t="inlineStr">
        <is>
          <t>NO</t>
        </is>
      </c>
      <c r="I9" s="2" t="inlineStr">
        <is>
          <t>lunes a viernes</t>
        </is>
      </c>
      <c r="J9" s="2" t="inlineStr">
        <is>
          <t>Metalurgica</t>
        </is>
      </c>
    </row>
    <row r="10">
      <c r="A10" s="5" t="n">
        <v>83</v>
      </c>
      <c r="B10" s="2" t="inlineStr">
        <is>
          <t>Zurvera Mirna</t>
        </is>
      </c>
      <c r="C10" s="3" t="n">
        <v>0.2916666666666667</v>
      </c>
      <c r="D10" s="3" t="n"/>
      <c r="E10" s="3" t="n"/>
      <c r="F10" s="3" t="n">
        <v>0.5833333333333334</v>
      </c>
      <c r="G10" s="3" t="inlineStr">
        <is>
          <t>Mensual</t>
        </is>
      </c>
      <c r="H10" s="2" t="inlineStr">
        <is>
          <t>SI</t>
        </is>
      </c>
      <c r="I10" s="2" t="inlineStr">
        <is>
          <t>lunes a viernes</t>
        </is>
      </c>
      <c r="J10" s="2" t="inlineStr">
        <is>
          <t>Administracion</t>
        </is>
      </c>
    </row>
    <row r="11">
      <c r="A11" s="5" t="n">
        <v>93</v>
      </c>
      <c r="B11" s="2" t="inlineStr">
        <is>
          <t>Suarez Elina</t>
        </is>
      </c>
      <c r="C11" s="3" t="n">
        <v>0.3333333333333333</v>
      </c>
      <c r="D11" s="3" t="n"/>
      <c r="E11" s="3" t="n"/>
      <c r="F11" s="3" t="n">
        <v>0.5416666666666666</v>
      </c>
      <c r="G11" s="3" t="n"/>
      <c r="H11" s="2" t="inlineStr">
        <is>
          <t>SI</t>
        </is>
      </c>
      <c r="I11" s="2" t="inlineStr">
        <is>
          <t>lunes a viernes</t>
        </is>
      </c>
      <c r="J11" s="2" t="inlineStr">
        <is>
          <t>Administracion</t>
        </is>
      </c>
    </row>
    <row r="12">
      <c r="A12" s="5" t="n">
        <v>94</v>
      </c>
      <c r="B12" s="2" t="inlineStr">
        <is>
          <t>Cordoba Gustavo</t>
        </is>
      </c>
      <c r="C12" s="3" t="n">
        <v>0.3125</v>
      </c>
      <c r="D12" s="3" t="n">
        <v>0.5</v>
      </c>
      <c r="E12" s="3" t="n">
        <v>0.5625</v>
      </c>
      <c r="F12" s="3" t="n">
        <v>0.75</v>
      </c>
      <c r="G12" s="3" t="n"/>
      <c r="H12" s="2" t="inlineStr">
        <is>
          <t>NO</t>
        </is>
      </c>
      <c r="I12" s="2" t="inlineStr">
        <is>
          <t>lunes a viernes</t>
        </is>
      </c>
      <c r="J12" s="2" t="inlineStr">
        <is>
          <t>Administracion</t>
        </is>
      </c>
    </row>
    <row r="13">
      <c r="A13" s="5" t="n">
        <v>96</v>
      </c>
      <c r="B13" s="2" t="inlineStr">
        <is>
          <t>Stieven Emiliano</t>
        </is>
      </c>
      <c r="C13" s="3" t="n">
        <v>0.3125</v>
      </c>
      <c r="D13" s="3" t="n">
        <v>0.5</v>
      </c>
      <c r="E13" s="3" t="n">
        <v>0.5625</v>
      </c>
      <c r="F13" s="3" t="n">
        <v>0.75</v>
      </c>
      <c r="G13" s="3" t="inlineStr">
        <is>
          <t>Quincenal</t>
        </is>
      </c>
      <c r="H13" s="2" t="inlineStr">
        <is>
          <t>NO</t>
        </is>
      </c>
      <c r="I13" s="2" t="inlineStr">
        <is>
          <t>lunes a viernes</t>
        </is>
      </c>
      <c r="J13" s="2" t="inlineStr">
        <is>
          <t>Taller</t>
        </is>
      </c>
    </row>
    <row r="14">
      <c r="A14" s="5" t="n">
        <v>97</v>
      </c>
      <c r="B14" s="2" t="inlineStr">
        <is>
          <t>Gomez Pablo</t>
        </is>
      </c>
      <c r="C14" s="3" t="n">
        <v>0.3125</v>
      </c>
      <c r="D14" s="3" t="n">
        <v>0.5</v>
      </c>
      <c r="E14" s="3" t="n">
        <v>0.5625</v>
      </c>
      <c r="F14" s="3" t="n">
        <v>0.75</v>
      </c>
      <c r="G14" s="3" t="inlineStr">
        <is>
          <t>Quincenal</t>
        </is>
      </c>
      <c r="H14" s="2" t="inlineStr">
        <is>
          <t>NO</t>
        </is>
      </c>
      <c r="I14" s="2" t="inlineStr">
        <is>
          <t>lunes a viernes</t>
        </is>
      </c>
      <c r="J14" s="2" t="inlineStr">
        <is>
          <t>Taller</t>
        </is>
      </c>
    </row>
    <row r="15">
      <c r="A15" s="5" t="n">
        <v>99</v>
      </c>
      <c r="B15" s="2" t="inlineStr">
        <is>
          <t>Fernandez Lara</t>
        </is>
      </c>
      <c r="C15" s="3" t="n">
        <v>0.3333333333333333</v>
      </c>
      <c r="D15" s="3" t="n"/>
      <c r="E15" s="3" t="n"/>
      <c r="F15" s="3" t="n">
        <v>0.5833333333333334</v>
      </c>
      <c r="G15" s="3" t="n"/>
      <c r="H15" s="2" t="inlineStr">
        <is>
          <t>SI</t>
        </is>
      </c>
      <c r="I15" s="2" t="inlineStr">
        <is>
          <t>lunes a viernes</t>
        </is>
      </c>
      <c r="J15" s="2" t="inlineStr">
        <is>
          <t>Administracion</t>
        </is>
      </c>
    </row>
    <row r="16">
      <c r="A16" s="5" t="n">
        <v>100</v>
      </c>
      <c r="B16" s="2" t="inlineStr">
        <is>
          <t>Bressan Jorge</t>
        </is>
      </c>
      <c r="C16" s="3" t="n">
        <v>0.3125</v>
      </c>
      <c r="D16" s="3" t="n">
        <v>0.5</v>
      </c>
      <c r="E16" s="3" t="n">
        <v>0.5625</v>
      </c>
      <c r="F16" s="3" t="n">
        <v>0.75</v>
      </c>
      <c r="G16" s="3" t="inlineStr">
        <is>
          <t>Quincenal</t>
        </is>
      </c>
      <c r="H16" s="2" t="inlineStr">
        <is>
          <t>NO</t>
        </is>
      </c>
      <c r="I16" s="2" t="inlineStr">
        <is>
          <t>lunes a viernes</t>
        </is>
      </c>
      <c r="J16" s="2" t="inlineStr">
        <is>
          <t>Taller</t>
        </is>
      </c>
    </row>
    <row r="17">
      <c r="A17" s="5" t="n">
        <v>101</v>
      </c>
      <c r="B17" s="2" t="inlineStr">
        <is>
          <t>Gimenez Joel</t>
        </is>
      </c>
      <c r="C17" s="3" t="n">
        <v>0.2708333333333333</v>
      </c>
      <c r="D17" s="3" t="n">
        <v>0.5</v>
      </c>
      <c r="E17" s="3" t="n">
        <v>0.5625</v>
      </c>
      <c r="F17" s="3" t="n">
        <v>0.75</v>
      </c>
      <c r="G17" s="3" t="inlineStr">
        <is>
          <t>Quincenal</t>
        </is>
      </c>
      <c r="H17" s="2" t="inlineStr">
        <is>
          <t>NO</t>
        </is>
      </c>
      <c r="I17" s="2" t="inlineStr">
        <is>
          <t>lunes a viernes</t>
        </is>
      </c>
      <c r="J17" s="2" t="inlineStr">
        <is>
          <t>Metalurgica</t>
        </is>
      </c>
    </row>
    <row r="18">
      <c r="A18" s="5" t="n">
        <v>105</v>
      </c>
      <c r="B18" s="2" t="inlineStr">
        <is>
          <t>Moreno Jose Benjamin</t>
        </is>
      </c>
      <c r="C18" s="3" t="n">
        <v>0.3125</v>
      </c>
      <c r="D18" s="3" t="n">
        <v>0.5</v>
      </c>
      <c r="E18" s="3" t="n">
        <v>0.5625</v>
      </c>
      <c r="F18" s="3" t="n">
        <v>0.75</v>
      </c>
      <c r="G18" s="3" t="inlineStr">
        <is>
          <t>Quincenal</t>
        </is>
      </c>
      <c r="H18" s="2" t="inlineStr">
        <is>
          <t>NO</t>
        </is>
      </c>
      <c r="I18" s="2" t="inlineStr">
        <is>
          <t>lunes a viernes</t>
        </is>
      </c>
      <c r="J18" s="2" t="inlineStr">
        <is>
          <t>Taller</t>
        </is>
      </c>
    </row>
    <row r="19">
      <c r="A19" s="5" t="n">
        <v>107</v>
      </c>
      <c r="B19" s="2" t="inlineStr">
        <is>
          <t>Juarez Paulina</t>
        </is>
      </c>
      <c r="C19" s="3" t="n">
        <v>0.375</v>
      </c>
      <c r="D19" s="3" t="n"/>
      <c r="E19" s="3" t="n"/>
      <c r="F19" s="3" t="n">
        <v>0.625</v>
      </c>
      <c r="G19" s="3" t="inlineStr">
        <is>
          <t>Quincenal</t>
        </is>
      </c>
      <c r="H19" s="2" t="inlineStr">
        <is>
          <t>SI</t>
        </is>
      </c>
      <c r="I19" s="2" t="inlineStr">
        <is>
          <t>lunes a viernes</t>
        </is>
      </c>
      <c r="J19" s="2" t="inlineStr">
        <is>
          <t>Maestranza</t>
        </is>
      </c>
    </row>
    <row r="20">
      <c r="A20" s="5" t="n">
        <v>108</v>
      </c>
      <c r="B20" s="2" t="inlineStr">
        <is>
          <t>Bruno Daniel</t>
        </is>
      </c>
      <c r="C20" s="3" t="n">
        <v>0.2708333333333333</v>
      </c>
      <c r="D20" s="3" t="n">
        <v>0.5</v>
      </c>
      <c r="E20" s="3" t="n">
        <v>0.5625</v>
      </c>
      <c r="F20" s="3" t="n">
        <v>0.75</v>
      </c>
      <c r="G20" s="3" t="inlineStr">
        <is>
          <t>Quincenal</t>
        </is>
      </c>
      <c r="H20" s="2" t="inlineStr">
        <is>
          <t>NO</t>
        </is>
      </c>
      <c r="I20" s="2" t="inlineStr">
        <is>
          <t>lunes a viernes</t>
        </is>
      </c>
      <c r="J20" s="2" t="inlineStr">
        <is>
          <t>Metalurgica</t>
        </is>
      </c>
    </row>
    <row r="21">
      <c r="A21" s="5" t="n">
        <v>109</v>
      </c>
      <c r="B21" s="2" t="inlineStr">
        <is>
          <t>Acosta Renzo</t>
        </is>
      </c>
      <c r="C21" s="3" t="n">
        <v>0.2708333333333333</v>
      </c>
      <c r="D21" s="3" t="n">
        <v>0.5</v>
      </c>
      <c r="E21" s="3" t="n">
        <v>0.5625</v>
      </c>
      <c r="F21" s="3" t="n">
        <v>0.75</v>
      </c>
      <c r="G21" s="3" t="inlineStr">
        <is>
          <t>Quincenal</t>
        </is>
      </c>
      <c r="H21" s="2" t="inlineStr">
        <is>
          <t>NO</t>
        </is>
      </c>
      <c r="I21" s="2" t="inlineStr">
        <is>
          <t>lunes a viernes</t>
        </is>
      </c>
      <c r="J21" s="2" t="inlineStr">
        <is>
          <t>Metalurgica</t>
        </is>
      </c>
    </row>
    <row r="22">
      <c r="A22" s="5" t="n">
        <v>111</v>
      </c>
      <c r="B22" s="2" t="inlineStr">
        <is>
          <t>Borgognoni Tomas</t>
        </is>
      </c>
      <c r="C22" s="3" t="n">
        <v>0.3125</v>
      </c>
      <c r="D22" s="3" t="n">
        <v>0.5</v>
      </c>
      <c r="E22" s="3" t="n">
        <v>0.5625</v>
      </c>
      <c r="F22" s="3" t="n">
        <v>0.75</v>
      </c>
      <c r="G22" s="3" t="inlineStr">
        <is>
          <t>Quincenal</t>
        </is>
      </c>
      <c r="H22" s="2" t="inlineStr">
        <is>
          <t>NO</t>
        </is>
      </c>
      <c r="I22" s="2" t="inlineStr">
        <is>
          <t>lunes a viernes</t>
        </is>
      </c>
      <c r="J22" s="2" t="inlineStr">
        <is>
          <t>Taller</t>
        </is>
      </c>
    </row>
    <row r="23">
      <c r="A23" s="5" t="n">
        <v>113</v>
      </c>
      <c r="B23" s="2" t="inlineStr">
        <is>
          <t>Pelliza Roque</t>
        </is>
      </c>
      <c r="C23" s="3" t="n">
        <v>0.3125</v>
      </c>
      <c r="D23" s="3" t="n">
        <v>0.5</v>
      </c>
      <c r="E23" s="3" t="n">
        <v>0.5625</v>
      </c>
      <c r="F23" s="3" t="n">
        <v>0.75</v>
      </c>
      <c r="G23" s="3" t="inlineStr">
        <is>
          <t>Quincenal</t>
        </is>
      </c>
      <c r="H23" s="2" t="inlineStr">
        <is>
          <t>NO</t>
        </is>
      </c>
      <c r="I23" s="2" t="inlineStr">
        <is>
          <t>lunes a viernes</t>
        </is>
      </c>
      <c r="J23" s="2" t="inlineStr">
        <is>
          <t>Maestranza</t>
        </is>
      </c>
    </row>
    <row r="24">
      <c r="A24" s="5" t="n">
        <v>117</v>
      </c>
      <c r="B24" s="2" t="inlineStr">
        <is>
          <t>Mansilla Luis Gabriel</t>
        </is>
      </c>
      <c r="C24" s="3" t="n">
        <v>0.2708333333333333</v>
      </c>
      <c r="D24" s="3" t="n">
        <v>0.5</v>
      </c>
      <c r="E24" s="3" t="n">
        <v>0.5625</v>
      </c>
      <c r="F24" s="3" t="n">
        <v>0.75</v>
      </c>
      <c r="G24" s="3" t="inlineStr">
        <is>
          <t>Quincenal</t>
        </is>
      </c>
      <c r="H24" s="2" t="n"/>
      <c r="I24" s="2" t="inlineStr">
        <is>
          <t>lunes a viernes</t>
        </is>
      </c>
      <c r="J24" s="2" t="inlineStr">
        <is>
          <t>Metalurgica</t>
        </is>
      </c>
    </row>
    <row r="25">
      <c r="A25" s="5" t="n">
        <v>118</v>
      </c>
      <c r="B25" s="2" t="inlineStr">
        <is>
          <t>Zeller Lucas Ezequiel</t>
        </is>
      </c>
      <c r="C25" s="3" t="n">
        <v>0.3125</v>
      </c>
      <c r="D25" s="3" t="n">
        <v>0.5</v>
      </c>
      <c r="E25" s="3" t="n"/>
      <c r="F25" s="3" t="n"/>
      <c r="G25" s="3" t="inlineStr">
        <is>
          <t>Mensual</t>
        </is>
      </c>
      <c r="H25" s="2" t="inlineStr">
        <is>
          <t>SI</t>
        </is>
      </c>
      <c r="I25" s="2" t="inlineStr">
        <is>
          <t>lunes , miercoles y viernes</t>
        </is>
      </c>
      <c r="J25" s="2" t="inlineStr">
        <is>
          <t>Administracion</t>
        </is>
      </c>
    </row>
    <row r="26">
      <c r="A26" s="5" t="n">
        <v>119</v>
      </c>
      <c r="B26" s="2" t="inlineStr">
        <is>
          <t>Lencina Rocio Pilar</t>
        </is>
      </c>
      <c r="C26" s="3" t="n">
        <v>0.375</v>
      </c>
      <c r="D26" s="3" t="n"/>
      <c r="E26" s="3" t="n"/>
      <c r="F26" s="3" t="n">
        <v>0.7083333333333334</v>
      </c>
      <c r="G26" s="3" t="inlineStr">
        <is>
          <t>Mensual</t>
        </is>
      </c>
      <c r="H26" s="2" t="inlineStr">
        <is>
          <t>SI</t>
        </is>
      </c>
      <c r="I26" s="2" t="inlineStr">
        <is>
          <t>lunes a viernes</t>
        </is>
      </c>
      <c r="J26" s="2" t="inlineStr">
        <is>
          <t>Administracion</t>
        </is>
      </c>
    </row>
    <row r="27">
      <c r="A27" s="5" t="n">
        <v>120</v>
      </c>
      <c r="B27" s="2" t="inlineStr">
        <is>
          <t>Palacios Claudio Ezequiel</t>
        </is>
      </c>
      <c r="C27" s="3" t="n">
        <v>0.3333333333333333</v>
      </c>
      <c r="D27" s="3" t="n">
        <v>0.5</v>
      </c>
      <c r="E27" s="3" t="n">
        <v>0.5833333333333334</v>
      </c>
      <c r="F27" s="3" t="n">
        <v>0.75</v>
      </c>
      <c r="G27" s="3" t="inlineStr">
        <is>
          <t>Quincenal</t>
        </is>
      </c>
      <c r="H27" s="2" t="n"/>
      <c r="I27" s="2" t="inlineStr">
        <is>
          <t>lunes a viernes</t>
        </is>
      </c>
      <c r="J27" s="2" t="inlineStr">
        <is>
          <t>Pasante</t>
        </is>
      </c>
    </row>
    <row r="28">
      <c r="A28" s="5" t="n">
        <v>121</v>
      </c>
      <c r="B28" s="2" t="inlineStr">
        <is>
          <t>Aguille Lorenzo</t>
        </is>
      </c>
      <c r="C28" s="3" t="n">
        <v>0.3333333333333333</v>
      </c>
      <c r="D28" s="3" t="n">
        <v>0.5</v>
      </c>
      <c r="E28" s="3" t="n">
        <v>0.5833333333333334</v>
      </c>
      <c r="F28" s="3" t="n">
        <v>0.75</v>
      </c>
      <c r="G28" s="3" t="inlineStr">
        <is>
          <t>Quincenal</t>
        </is>
      </c>
      <c r="H28" s="2" t="n"/>
      <c r="I28" s="2" t="inlineStr">
        <is>
          <t>lunes a viernes</t>
        </is>
      </c>
      <c r="J28" s="2" t="inlineStr">
        <is>
          <t>Pasante</t>
        </is>
      </c>
    </row>
    <row r="29">
      <c r="A29" s="5" t="n">
        <v>122</v>
      </c>
      <c r="B29" s="2" t="inlineStr">
        <is>
          <t>Perez Jonathan Joel</t>
        </is>
      </c>
      <c r="C29" s="3" t="n">
        <v>0.3333333333333333</v>
      </c>
      <c r="D29" s="3" t="n">
        <v>0.5</v>
      </c>
      <c r="E29" s="3" t="n"/>
      <c r="F29" s="3" t="n"/>
      <c r="G29" s="3" t="inlineStr">
        <is>
          <t>Quincenal</t>
        </is>
      </c>
      <c r="H29" s="2" t="n"/>
      <c r="I29" s="2" t="inlineStr">
        <is>
          <t>lunes a viernes</t>
        </is>
      </c>
      <c r="J29" s="2" t="inlineStr">
        <is>
          <t>Pasante</t>
        </is>
      </c>
    </row>
    <row r="1048570">
      <c r="H1048570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opLeftCell="A13" workbookViewId="0">
      <selection activeCell="B14" sqref="B14"/>
    </sheetView>
  </sheetViews>
  <sheetFormatPr baseColWidth="10" defaultColWidth="8.88671875" defaultRowHeight="14.4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</v>
      </c>
      <c r="B2" s="7">
        <f>IF(A2="","",IFERROR(VLOOKUP(A2,Empleados!A:B,2,FALSE),""))</f>
        <v/>
      </c>
      <c r="C2" s="7">
        <f>IF(A2="","",IFERROR(VLOOKUP(A2,Empleados!A:J,9,FALSE),""))</f>
        <v/>
      </c>
      <c r="D2" s="7">
        <f>IF(A2="","",IFERROR(VLOOKUP(A2,Empleados!A:I,8,FALSE),""))</f>
        <v/>
      </c>
      <c r="E2" s="7" t="inlineStr">
        <is>
          <t>FERIADO</t>
        </is>
      </c>
      <c r="F2" s="8" t="n">
        <v>46143</v>
      </c>
      <c r="G2" s="8" t="n">
        <v>46143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 ht="30.75" customHeight="1">
      <c r="A3" s="7" t="n">
        <v>82</v>
      </c>
      <c r="B3" s="7">
        <f>IF(A3="","",IFERROR(VLOOKUP(A3,Empleados!A:B,2,FALSE),""))</f>
        <v/>
      </c>
      <c r="C3" s="7">
        <f>IF(A3="","",IFERROR(VLOOKUP(A3,Empleados!A:J,9,FALSE),""))</f>
        <v/>
      </c>
      <c r="D3" s="7">
        <f>IF(A3="","",IFERROR(VLOOKUP(A3,Empleados!A:I,8,FALSE),""))</f>
        <v/>
      </c>
      <c r="E3" s="7" t="inlineStr">
        <is>
          <t>ACCIDENTE DE TRABAJO</t>
        </is>
      </c>
      <c r="F3" s="8" t="n">
        <v>46146</v>
      </c>
      <c r="G3" s="8" t="n">
        <v>46173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 ht="13.5" customHeight="1">
      <c r="A4" s="7" t="n">
        <v>52</v>
      </c>
      <c r="B4" s="7">
        <f>IF(A4="","",IFERROR(VLOOKUP(A4,Empleados!A:B,2,FALSE),""))</f>
        <v/>
      </c>
      <c r="C4" s="7">
        <f>IF(A4="","",IFERROR(VLOOKUP(A4,Empleados!A:J,9,FALSE),""))</f>
        <v/>
      </c>
      <c r="D4" s="7">
        <f>IF(A4="","",IFERROR(VLOOKUP(A4,Empleados!A:I,8,FALSE),""))</f>
        <v/>
      </c>
      <c r="E4" s="7" t="inlineStr">
        <is>
          <t>ACCIDENTE DE TRABAJO</t>
        </is>
      </c>
      <c r="F4" s="8" t="n">
        <v>46146</v>
      </c>
      <c r="G4" s="8" t="n">
        <v>46173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1</v>
      </c>
      <c r="B5" s="7">
        <f>IF(A5="","",IFERROR(VLOOKUP(A5,Empleados!A:B,2,FALSE),""))</f>
        <v/>
      </c>
      <c r="C5" s="7">
        <f>IF(A5="","",IFERROR(VLOOKUP(A5,Empleados!A:J,9,FALSE),""))</f>
        <v/>
      </c>
      <c r="D5" s="7">
        <f>IF(A5="","",IFERROR(VLOOKUP(A5,Empleados!A:I,8,FALSE),""))</f>
        <v/>
      </c>
      <c r="E5" s="7" t="inlineStr">
        <is>
          <t>FERIADO</t>
        </is>
      </c>
      <c r="F5" s="8" t="n">
        <v>46167</v>
      </c>
      <c r="G5" s="8" t="n">
        <v>46167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93</v>
      </c>
      <c r="B6" s="7">
        <f>IF(A6="","",IFERROR(VLOOKUP(A6,Empleados!A:B,2,FALSE),""))</f>
        <v/>
      </c>
      <c r="C6" s="7">
        <f>IF(A6="","",IFERROR(VLOOKUP(A6,Empleados!A:J,9,FALSE),""))</f>
        <v/>
      </c>
      <c r="D6" s="7">
        <f>IF(A6="","",IFERROR(VLOOKUP(A6,Empleados!A:I,8,FALSE),""))</f>
        <v/>
      </c>
      <c r="E6" s="7" t="inlineStr">
        <is>
          <t>PRESENTE</t>
        </is>
      </c>
      <c r="F6" s="8" t="n">
        <v>46149</v>
      </c>
      <c r="G6" s="8" t="n">
        <v>46156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96</v>
      </c>
      <c r="B7" s="7">
        <f>IF(A7="","",IFERROR(VLOOKUP(A7,Empleados!A:B,2,FALSE),""))</f>
        <v/>
      </c>
      <c r="C7" s="7">
        <f>IF(A7="","",IFERROR(VLOOKUP(A7,Empleados!A:J,9,FALSE),""))</f>
        <v/>
      </c>
      <c r="D7" s="7">
        <f>IF(A7="","",IFERROR(VLOOKUP(A7,Empleados!A:I,8,FALSE),""))</f>
        <v/>
      </c>
      <c r="E7" s="7" t="inlineStr">
        <is>
          <t>PRESENTE</t>
        </is>
      </c>
      <c r="F7" s="8" t="n">
        <v>46156</v>
      </c>
      <c r="G7" s="8" t="n">
        <v>46157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100</v>
      </c>
      <c r="B8" s="7">
        <f>IF(A8="","",IFERROR(VLOOKUP(A8,Empleados!A:B,2,FALSE),""))</f>
        <v/>
      </c>
      <c r="C8" s="7">
        <f>IF(A8="","",IFERROR(VLOOKUP(A8,Empleados!A:J,9,FALSE),""))</f>
        <v/>
      </c>
      <c r="D8" s="7">
        <f>IF(A8="","",IFERROR(VLOOKUP(A8,Empleados!A:I,8,FALSE),""))</f>
        <v/>
      </c>
      <c r="E8" s="7" t="inlineStr">
        <is>
          <t>PRESENTE</t>
        </is>
      </c>
      <c r="F8" s="8" t="n">
        <v>46154</v>
      </c>
      <c r="G8" s="8" t="n">
        <v>46155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51</v>
      </c>
      <c r="B9" s="7">
        <f>IF(A9="","",IFERROR(VLOOKUP(A9,Empleados!A:B,2,FALSE),""))</f>
        <v/>
      </c>
      <c r="C9" s="7">
        <f>IF(A9="","",IFERROR(VLOOKUP(A9,Empleados!A:J,9,FALSE),""))</f>
        <v/>
      </c>
      <c r="D9" s="7">
        <f>IF(A9="","",IFERROR(VLOOKUP(A9,Empleados!A:I,8,FALSE),""))</f>
        <v/>
      </c>
      <c r="E9" s="7" t="inlineStr">
        <is>
          <t>AUSENCIA</t>
        </is>
      </c>
      <c r="F9" s="8" t="n">
        <v>46161</v>
      </c>
      <c r="G9" s="8" t="n">
        <v>46161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>
        <v>51</v>
      </c>
      <c r="B10" s="7">
        <f>IF(A10="","",IFERROR(VLOOKUP(A10,Empleados!A:B,2,FALSE),""))</f>
        <v/>
      </c>
      <c r="C10" s="7">
        <f>IF(A10="","",IFERROR(VLOOKUP(A10,Empleados!A:J,9,FALSE),""))</f>
        <v/>
      </c>
      <c r="D10" s="7">
        <f>IF(A10="","",IFERROR(VLOOKUP(A10,Empleados!A:I,8,FALSE),""))</f>
        <v/>
      </c>
      <c r="E10" s="7" t="inlineStr">
        <is>
          <t>PRESENTE</t>
        </is>
      </c>
      <c r="F10" s="8" t="n">
        <v>46154</v>
      </c>
      <c r="G10" s="8" t="n">
        <v>46156</v>
      </c>
      <c r="H10" s="9">
        <f>IF(OR(F10="",G10=""),"",G10-F10+1)</f>
        <v/>
      </c>
      <c r="I10" s="7" t="inlineStr">
        <is>
          <t>APROBADO</t>
        </is>
      </c>
      <c r="J10" s="7" t="n"/>
      <c r="K10" s="7">
        <f>IF(A10="","",A10&amp;"|"&amp;TEXT(F10,"yyyymmdd")&amp;"|"&amp;TEXT(G10,"yyyymmdd"))</f>
        <v/>
      </c>
    </row>
    <row r="11">
      <c r="A11" s="7" t="n">
        <v>20</v>
      </c>
      <c r="B11" s="7">
        <f>IF(A11="","",IFERROR(VLOOKUP(A11,Empleados!A:B,2,FALSE),""))</f>
        <v/>
      </c>
      <c r="C11" s="7">
        <f>IF(A11="","",IFERROR(VLOOKUP(A11,Empleados!A:J,9,FALSE),""))</f>
        <v/>
      </c>
      <c r="D11" s="7">
        <f>IF(A11="","",IFERROR(VLOOKUP(A11,Empleados!A:I,8,FALSE),""))</f>
        <v/>
      </c>
      <c r="E11" s="7" t="inlineStr">
        <is>
          <t>VACACIONES</t>
        </is>
      </c>
      <c r="F11" s="8" t="n">
        <v>46164</v>
      </c>
      <c r="G11" s="8" t="n">
        <v>46164</v>
      </c>
      <c r="H11" s="9">
        <f>IF(OR(F11="",G11=""),"",G11-F11+1)</f>
        <v/>
      </c>
      <c r="I11" s="7" t="inlineStr">
        <is>
          <t>APROBADO</t>
        </is>
      </c>
      <c r="J11" s="7" t="n"/>
      <c r="K11" s="7">
        <f>IF(A11="","",A11&amp;"|"&amp;TEXT(F11,"yyyymmdd")&amp;"|"&amp;TEXT(G11,"yyyymmdd"))</f>
        <v/>
      </c>
    </row>
    <row r="12">
      <c r="A12" s="7" t="n">
        <v>20</v>
      </c>
      <c r="B12" s="7">
        <f>IF(A12="","",IFERROR(VLOOKUP(A12,Empleados!A:B,2,FALSE),""))</f>
        <v/>
      </c>
      <c r="C12" s="7">
        <f>IF(A12="","",IFERROR(VLOOKUP(A12,Empleados!A:J,9,FALSE),""))</f>
        <v/>
      </c>
      <c r="D12" s="7">
        <f>IF(A12="","",IFERROR(VLOOKUP(A12,Empleados!A:I,8,FALSE),""))</f>
        <v/>
      </c>
      <c r="E12" s="7" t="inlineStr">
        <is>
          <t>PRESENTE</t>
        </is>
      </c>
      <c r="F12" s="8" t="n">
        <v>46170</v>
      </c>
      <c r="G12" s="8" t="n">
        <v>46170</v>
      </c>
      <c r="H12" s="9">
        <f>IF(OR(F12="",G12=""),"",G12-F12+1)</f>
        <v/>
      </c>
      <c r="I12" s="7" t="inlineStr">
        <is>
          <t>APROBADO</t>
        </is>
      </c>
      <c r="J12" s="7" t="n"/>
      <c r="K12" s="7">
        <f>IF(A12="","",A12&amp;"|"&amp;TEXT(F12,"yyyymmdd")&amp;"|"&amp;TEXT(G12,"yyyymmdd"))</f>
        <v/>
      </c>
    </row>
    <row r="13">
      <c r="A13" s="7" t="n">
        <v>97</v>
      </c>
      <c r="B13" s="7">
        <f>IF(A13="","",IFERROR(VLOOKUP(A13,Empleados!A:B,2,FALSE),""))</f>
        <v/>
      </c>
      <c r="C13" s="7">
        <f>IF(A13="","",IFERROR(VLOOKUP(A13,Empleados!A:J,9,FALSE),""))</f>
        <v/>
      </c>
      <c r="D13" s="7">
        <f>IF(A13="","",IFERROR(VLOOKUP(A13,Empleados!A:I,8,FALSE),""))</f>
        <v/>
      </c>
      <c r="E13" s="7" t="inlineStr">
        <is>
          <t>PRESENTE</t>
        </is>
      </c>
      <c r="F13" s="8" t="n">
        <v>46168</v>
      </c>
      <c r="G13" s="8" t="n">
        <v>46169</v>
      </c>
      <c r="H13" s="9">
        <f>IF(OR(F13="",G13=""),"",G13-F13+1)</f>
        <v/>
      </c>
      <c r="I13" s="7" t="inlineStr">
        <is>
          <t>APROBADO</t>
        </is>
      </c>
      <c r="J13" s="7" t="n"/>
      <c r="K13" s="7">
        <f>IF(A13="","",A13&amp;"|"&amp;TEXT(F13,"yyyymmdd")&amp;"|"&amp;TEXT(G13,"yyyymmdd"))</f>
        <v/>
      </c>
    </row>
    <row r="14">
      <c r="A14" s="7" t="n">
        <v>96</v>
      </c>
      <c r="B14" s="7">
        <f>IF(A14="","",IFERROR(VLOOKUP(A14,Empleados!A:B,2,FALSE),""))</f>
        <v/>
      </c>
      <c r="C14" s="7">
        <f>IF(A14="","",IFERROR(VLOOKUP(A14,Empleados!A:J,9,FALSE),""))</f>
        <v/>
      </c>
      <c r="D14" s="7">
        <f>IF(A14="","",IFERROR(VLOOKUP(A14,Empleados!A:I,8,FALSE),""))</f>
        <v/>
      </c>
      <c r="E14" s="7" t="inlineStr">
        <is>
          <t>PRESENTE</t>
        </is>
      </c>
      <c r="F14" s="8" t="n">
        <v>46168</v>
      </c>
      <c r="G14" s="8" t="n">
        <v>46169</v>
      </c>
      <c r="H14" s="9">
        <f>IF(OR(F14="",G14=""),"",G14-F14+1)</f>
        <v/>
      </c>
      <c r="I14" s="7" t="inlineStr">
        <is>
          <t>APROBADO</t>
        </is>
      </c>
      <c r="J14" s="7" t="n"/>
      <c r="K14" s="7">
        <f>IF(A14="","",A14&amp;"|"&amp;TEXT(F14,"yyyymmdd")&amp;"|"&amp;TEXT(G14,"yyyymmdd"))</f>
        <v/>
      </c>
    </row>
    <row r="15">
      <c r="A15" s="7" t="n">
        <v>100</v>
      </c>
      <c r="B15" s="7">
        <f>IF(A15="","",IFERROR(VLOOKUP(A15,Empleados!A:B,2,FALSE),""))</f>
        <v/>
      </c>
      <c r="C15" s="7">
        <f>IF(A15="","",IFERROR(VLOOKUP(A15,Empleados!A:J,9,FALSE),""))</f>
        <v/>
      </c>
      <c r="D15" s="7">
        <f>IF(A15="","",IFERROR(VLOOKUP(A15,Empleados!A:I,8,FALSE),""))</f>
        <v/>
      </c>
      <c r="E15" s="7" t="inlineStr">
        <is>
          <t>PRESENTE</t>
        </is>
      </c>
      <c r="F15" s="8" t="n">
        <v>46157</v>
      </c>
      <c r="G15" s="8" t="n">
        <v>46157</v>
      </c>
      <c r="H15" s="9">
        <f>IF(OR(F15="",G15=""),"",G15-F15+1)</f>
        <v/>
      </c>
      <c r="I15" s="7" t="inlineStr">
        <is>
          <t>APROBADO</t>
        </is>
      </c>
      <c r="J15" s="7" t="n"/>
      <c r="K15" s="7">
        <f>IF(A15="","",A15&amp;"|"&amp;TEXT(F15,"yyyymmdd")&amp;"|"&amp;TEXT(G15,"yyyymmdd"))</f>
        <v/>
      </c>
    </row>
    <row r="16">
      <c r="A16" s="7" t="n">
        <v>113</v>
      </c>
      <c r="B16" s="7">
        <f>IF(A16="","",IFERROR(VLOOKUP(A16,Empleados!A:B,2,FALSE),""))</f>
        <v/>
      </c>
      <c r="C16" s="7">
        <f>IF(A16="","",IFERROR(VLOOKUP(A16,Empleados!A:J,9,FALSE),""))</f>
        <v/>
      </c>
      <c r="D16" s="7">
        <f>IF(A16="","",IFERROR(VLOOKUP(A16,Empleados!A:I,8,FALSE),""))</f>
        <v/>
      </c>
      <c r="E16" s="7" t="inlineStr">
        <is>
          <t>PRESENTE</t>
        </is>
      </c>
      <c r="F16" s="8" t="n">
        <v>46154</v>
      </c>
      <c r="G16" s="8" t="n">
        <v>46154</v>
      </c>
      <c r="H16" s="9">
        <f>IF(OR(F16="",G16=""),"",G16-F16+1)</f>
        <v/>
      </c>
      <c r="I16" s="7" t="inlineStr">
        <is>
          <t>APROBADO</t>
        </is>
      </c>
      <c r="J16" s="7" t="n"/>
      <c r="K16" s="7">
        <f>IF(A16="","",A16&amp;"|"&amp;TEXT(F16,"yyyymmdd")&amp;"|"&amp;TEXT(G16,"yyyymmdd"))</f>
        <v/>
      </c>
    </row>
    <row r="17">
      <c r="A17" s="7" t="n">
        <v>113</v>
      </c>
      <c r="B17" s="7">
        <f>IF(A17="","",IFERROR(VLOOKUP(A17,Empleados!A:B,2,FALSE),""))</f>
        <v/>
      </c>
      <c r="C17" s="7">
        <f>IF(A17="","",IFERROR(VLOOKUP(A17,Empleados!A:J,9,FALSE),""))</f>
        <v/>
      </c>
      <c r="D17" s="7">
        <f>IF(A17="","",IFERROR(VLOOKUP(A17,Empleados!A:I,8,FALSE),""))</f>
        <v/>
      </c>
      <c r="E17" s="7" t="inlineStr">
        <is>
          <t>PRESENTE</t>
        </is>
      </c>
      <c r="F17" s="8" t="n">
        <v>46157</v>
      </c>
      <c r="G17" s="8" t="n">
        <v>46157</v>
      </c>
      <c r="H17" s="9">
        <f>IF(OR(F17="",G17=""),"",G17-F17+1)</f>
        <v/>
      </c>
      <c r="I17" s="7" t="inlineStr">
        <is>
          <t>APROBADO</t>
        </is>
      </c>
      <c r="J17" s="7" t="n"/>
      <c r="K17" s="7">
        <f>IF(A17="","",A17&amp;"|"&amp;TEXT(F17,"yyyymmdd")&amp;"|"&amp;TEXT(G17,"yyyymmdd"))</f>
        <v/>
      </c>
    </row>
    <row r="18">
      <c r="A18" s="7" t="n">
        <v>113</v>
      </c>
      <c r="B18" s="7">
        <f>IF(A18="","",IFERROR(VLOOKUP(A18,Empleados!A:B,2,FALSE),""))</f>
        <v/>
      </c>
      <c r="C18" s="7">
        <f>IF(A18="","",IFERROR(VLOOKUP(A18,Empleados!A:J,9,FALSE),""))</f>
        <v/>
      </c>
      <c r="D18" s="7">
        <f>IF(A18="","",IFERROR(VLOOKUP(A18,Empleados!A:I,8,FALSE),""))</f>
        <v/>
      </c>
      <c r="E18" s="7" t="inlineStr">
        <is>
          <t>AUSENCIA</t>
        </is>
      </c>
      <c r="F18" s="8" t="n">
        <v>46164</v>
      </c>
      <c r="G18" s="8" t="n">
        <v>46164</v>
      </c>
      <c r="H18" s="9">
        <f>IF(OR(F18="",G18=""),"",G18-F18+1)</f>
        <v/>
      </c>
      <c r="I18" s="7" t="inlineStr">
        <is>
          <t>APROBADO</t>
        </is>
      </c>
      <c r="J18" s="7" t="n"/>
      <c r="K18" s="7">
        <f>IF(A18="","",A18&amp;"|"&amp;TEXT(F18,"yyyymmdd")&amp;"|"&amp;TEXT(G18,"yyyymmdd"))</f>
        <v/>
      </c>
    </row>
    <row r="19">
      <c r="A19" s="7" t="n">
        <v>109</v>
      </c>
      <c r="B19" s="7">
        <f>IF(A19="","",IFERROR(VLOOKUP(A19,Empleados!A:B,2,FALSE),""))</f>
        <v/>
      </c>
      <c r="C19" s="7">
        <f>IF(A19="","",IFERROR(VLOOKUP(A19,Empleados!A:J,9,FALSE),""))</f>
        <v/>
      </c>
      <c r="D19" s="7">
        <f>IF(A19="","",IFERROR(VLOOKUP(A19,Empleados!A:I,8,FALSE),""))</f>
        <v/>
      </c>
      <c r="E19" s="7" t="inlineStr">
        <is>
          <t>PRESENTE</t>
        </is>
      </c>
      <c r="F19" s="8" t="n">
        <v>46169</v>
      </c>
      <c r="G19" s="8" t="n">
        <v>46170</v>
      </c>
      <c r="H19" s="9">
        <f>IF(OR(F19="",G19=""),"",G19-F19+1)</f>
        <v/>
      </c>
      <c r="I19" s="7" t="inlineStr">
        <is>
          <t>APROBADO</t>
        </is>
      </c>
      <c r="J19" s="7" t="n"/>
      <c r="K19" s="7">
        <f>IF(A19="","",A19&amp;"|"&amp;TEXT(F19,"yyyymmdd")&amp;"|"&amp;TEXT(G19,"yyyymmdd"))</f>
        <v/>
      </c>
    </row>
    <row r="20">
      <c r="A20" s="7" t="n">
        <v>83</v>
      </c>
      <c r="B20" s="7">
        <f>IF(A20="","",IFERROR(VLOOKUP(A20,Empleados!A:B,2,FALSE),""))</f>
        <v/>
      </c>
      <c r="C20" s="7">
        <f>IF(A20="","",IFERROR(VLOOKUP(A20,Empleados!A:J,9,FALSE),""))</f>
        <v/>
      </c>
      <c r="D20" s="7">
        <f>IF(A20="","",IFERROR(VLOOKUP(A20,Empleados!A:I,8,FALSE),""))</f>
        <v/>
      </c>
      <c r="E20" s="7" t="inlineStr">
        <is>
          <t>PRESENTE</t>
        </is>
      </c>
      <c r="F20" s="8" t="n">
        <v>46156</v>
      </c>
      <c r="G20" s="8" t="n">
        <v>46156</v>
      </c>
      <c r="H20" s="9">
        <f>IF(OR(F20="",G20=""),"",G20-F20+1)</f>
        <v/>
      </c>
      <c r="I20" s="7" t="inlineStr">
        <is>
          <t>APROBADO</t>
        </is>
      </c>
      <c r="J20" s="7" t="n"/>
      <c r="K20" s="7">
        <f>IF(A20="","",A20&amp;"|"&amp;TEXT(F20,"yyyymmdd")&amp;"|"&amp;TEXT(G20,"yyyymmdd"))</f>
        <v/>
      </c>
    </row>
    <row r="21">
      <c r="A21" s="7" t="n">
        <v>109</v>
      </c>
      <c r="B21" s="7">
        <f>IF(A21="","",IFERROR(VLOOKUP(A21,Empleados!A:B,2,FALSE),""))</f>
        <v/>
      </c>
      <c r="C21" s="7">
        <f>IF(A21="","",IFERROR(VLOOKUP(A21,Empleados!A:J,9,FALSE),""))</f>
        <v/>
      </c>
      <c r="D21" s="7">
        <f>IF(A21="","",IFERROR(VLOOKUP(A21,Empleados!A:I,8,FALSE),""))</f>
        <v/>
      </c>
      <c r="E21" s="7" t="inlineStr">
        <is>
          <t>PRESENTE</t>
        </is>
      </c>
      <c r="F21" s="8" t="n">
        <v>46146</v>
      </c>
      <c r="G21" s="8" t="n">
        <v>46146</v>
      </c>
      <c r="H21" s="9">
        <f>IF(OR(F21="",G21=""),"",G21-F21+1)</f>
        <v/>
      </c>
      <c r="I21" s="7" t="inlineStr">
        <is>
          <t>APROBADO</t>
        </is>
      </c>
      <c r="J21" s="7" t="n"/>
      <c r="K21" s="7">
        <f>IF(A21="","",A21&amp;"|"&amp;TEXT(F21,"yyyymmdd")&amp;"|"&amp;TEXT(G21,"yyyymmdd"))</f>
        <v/>
      </c>
    </row>
    <row r="22">
      <c r="A22" s="7" t="n">
        <v>120</v>
      </c>
      <c r="B22" s="7">
        <f>IF(A22="","",IFERROR(VLOOKUP(A22,Empleados!A:B,2,FALSE),""))</f>
        <v/>
      </c>
      <c r="C22" s="7">
        <f>IF(A22="","",IFERROR(VLOOKUP(A22,Empleados!A:J,9,FALSE),""))</f>
        <v/>
      </c>
      <c r="D22" s="7">
        <f>IF(A22="","",IFERROR(VLOOKUP(A22,Empleados!A:I,8,FALSE),""))</f>
        <v/>
      </c>
      <c r="E22" s="7" t="inlineStr">
        <is>
          <t>PRESENTE</t>
        </is>
      </c>
      <c r="F22" s="8" t="n">
        <v>46156</v>
      </c>
      <c r="G22" s="8" t="n">
        <v>46156</v>
      </c>
      <c r="H22" s="9">
        <f>IF(OR(F22="",G22=""),"",G22-F22+1)</f>
        <v/>
      </c>
      <c r="I22" s="7" t="inlineStr">
        <is>
          <t>APROBADO</t>
        </is>
      </c>
      <c r="J22" s="7" t="n"/>
      <c r="K22" s="7">
        <f>IF(A22="","",A22&amp;"|"&amp;TEXT(F22,"yyyymmdd")&amp;"|"&amp;TEXT(G22,"yyyymmdd"))</f>
        <v/>
      </c>
    </row>
    <row r="23">
      <c r="A23" s="7" t="n">
        <v>121</v>
      </c>
      <c r="B23" s="7">
        <f>IF(A23="","",IFERROR(VLOOKUP(A23,Empleados!A:B,2,FALSE),""))</f>
        <v/>
      </c>
      <c r="C23" s="7">
        <f>IF(A23="","",IFERROR(VLOOKUP(A23,Empleados!A:J,9,FALSE),""))</f>
        <v/>
      </c>
      <c r="D23" s="7">
        <f>IF(A23="","",IFERROR(VLOOKUP(A23,Empleados!A:I,8,FALSE),""))</f>
        <v/>
      </c>
      <c r="E23" s="14" t="inlineStr">
        <is>
          <t>PRESENTE</t>
        </is>
      </c>
      <c r="F23" s="8" t="n">
        <v>46156</v>
      </c>
      <c r="G23" s="8" t="n">
        <v>46156</v>
      </c>
      <c r="H23" s="9">
        <f>IF(OR(F23="",G23=""),"",G23-F23+1)</f>
        <v/>
      </c>
      <c r="I23" s="7" t="inlineStr">
        <is>
          <t>APROBADO</t>
        </is>
      </c>
      <c r="J23" s="7" t="n"/>
      <c r="K23" s="7">
        <f>IF(A23="","",A23&amp;"|"&amp;TEXT(F23,"yyyymmdd")&amp;"|"&amp;TEXT(G23,"yyyymmdd"))</f>
        <v/>
      </c>
    </row>
    <row r="24">
      <c r="A24" s="7" t="n"/>
      <c r="B24" s="7">
        <f>IF(A24="","",IFERROR(VLOOKUP(A24,Empleados!A:B,2,FALSE),""))</f>
        <v/>
      </c>
      <c r="C24" s="7">
        <f>IF(A24="","",IFERROR(VLOOKUP(A24,Empleados!A:J,9,FALSE),""))</f>
        <v/>
      </c>
      <c r="D24" s="7">
        <f>IF(A24="","",IFERROR(VLOOKUP(A24,Empleados!A:I,8,FALSE),""))</f>
        <v/>
      </c>
      <c r="E24" s="7" t="n"/>
      <c r="F24" s="8" t="n"/>
      <c r="G24" s="8" t="n"/>
      <c r="H24" s="9">
        <f>IF(OR(F24="",G24=""),"",G24-F24+1)</f>
        <v/>
      </c>
      <c r="I24" s="7">
        <f>IF(A24="","","PENDIENTE")</f>
        <v/>
      </c>
      <c r="J24" s="7" t="n"/>
      <c r="K24" s="7">
        <f>IF(A24="","",A24&amp;"|"&amp;TEXT(F24,"yyyymmdd")&amp;"|"&amp;TEXT(G24,"yyyymmdd"))</f>
        <v/>
      </c>
    </row>
    <row r="25">
      <c r="A25" s="7" t="n"/>
      <c r="B25" s="7">
        <f>IF(A25="","",IFERROR(VLOOKUP(A25,Empleados!A:B,2,FALSE),""))</f>
        <v/>
      </c>
      <c r="C25" s="7">
        <f>IF(A25="","",IFERROR(VLOOKUP(A25,Empleados!A:J,9,FALSE),""))</f>
        <v/>
      </c>
      <c r="D25" s="7">
        <f>IF(A25="","",IFERROR(VLOOKUP(A25,Empleados!A:I,8,FALSE),""))</f>
        <v/>
      </c>
      <c r="E25" s="7" t="n"/>
      <c r="F25" s="8" t="n"/>
      <c r="G25" s="8" t="n"/>
      <c r="H25" s="9">
        <f>IF(OR(F25="",G25=""),"",G25-F25+1)</f>
        <v/>
      </c>
      <c r="I25" s="7">
        <f>IF(A25="","","PENDIENTE")</f>
        <v/>
      </c>
      <c r="J25" s="7" t="n"/>
      <c r="K25" s="7">
        <f>IF(A25="","",A25&amp;"|"&amp;TEXT(F25,"yyyymmdd")&amp;"|"&amp;TEXT(G25,"yyyymmdd"))</f>
        <v/>
      </c>
    </row>
    <row r="26">
      <c r="A26" s="7" t="n"/>
      <c r="B26" s="7">
        <f>IF(A26="","",IFERROR(VLOOKUP(A26,Empleados!A:B,2,FALSE),""))</f>
        <v/>
      </c>
      <c r="C26" s="7">
        <f>IF(A26="","",IFERROR(VLOOKUP(A26,Empleados!A:J,9,FALSE),""))</f>
        <v/>
      </c>
      <c r="D26" s="7">
        <f>IF(A26="","",IFERROR(VLOOKUP(A26,Empleados!A:I,8,FALSE),""))</f>
        <v/>
      </c>
      <c r="E26" s="7" t="n"/>
      <c r="F26" s="8" t="n"/>
      <c r="G26" s="8" t="n"/>
      <c r="H26" s="9">
        <f>IF(OR(F26="",G26=""),"",G26-F26+1)</f>
        <v/>
      </c>
      <c r="I26" s="7">
        <f>IF(A26="","","PENDIENTE")</f>
        <v/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IF(A27="","",IFERROR(VLOOKUP(A27,Empleados!A:J,9,FALSE),""))</f>
        <v/>
      </c>
      <c r="D27" s="7">
        <f>IF(A27="","",IFERROR(VLOOKUP(A27,Empleados!A:I,8,FALSE),""))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IF(A28="","",IFERROR(VLOOKUP(A28,Empleados!A:J,9,FALSE),""))</f>
        <v/>
      </c>
      <c r="D28" s="7">
        <f>IF(A28="","",IFERROR(VLOOKUP(A28,Empleados!A:I,8,FALSE),""))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IF(A29="","",IFERROR(VLOOKUP(A29,Empleados!A:J,9,FALSE),""))</f>
        <v/>
      </c>
      <c r="D29" s="7">
        <f>IF(A29="","",IFERROR(VLOOKUP(A29,Empleados!A:I,8,FALSE),""))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IF(A30="","",IFERROR(VLOOKUP(A30,Empleados!A:J,9,FALSE),""))</f>
        <v/>
      </c>
      <c r="D30" s="7">
        <f>IF(A30="","",IFERROR(VLOOKUP(A30,Empleados!A:I,8,FALSE),""))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IF(A31="","",IFERROR(VLOOKUP(A31,Empleados!A:J,9,FALSE),""))</f>
        <v/>
      </c>
      <c r="D31" s="7">
        <f>IF(A31="","",IFERROR(VLOOKUP(A31,Empleados!A:I,8,FALSE),""))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IF(A32="","",IFERROR(VLOOKUP(A32,Empleados!A:J,9,FALSE),""))</f>
        <v/>
      </c>
      <c r="D32" s="7">
        <f>IF(A32="","",IFERROR(VLOOKUP(A32,Empleados!A:I,8,FALSE),""))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IF(A33="","",IFERROR(VLOOKUP(A33,Empleados!A:J,9,FALSE),""))</f>
        <v/>
      </c>
      <c r="D33" s="7">
        <f>IF(A33="","",IFERROR(VLOOKUP(A33,Empleados!A:I,8,FALSE),""))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IF(A34="","",IFERROR(VLOOKUP(A34,Empleados!A:J,9,FALSE),""))</f>
        <v/>
      </c>
      <c r="D34" s="7">
        <f>IF(A34="","",IFERROR(VLOOKUP(A34,Empleados!A:I,8,FALSE),""))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IF(A35="","",IFERROR(VLOOKUP(A35,Empleados!A:J,9,FALSE),""))</f>
        <v/>
      </c>
      <c r="D35" s="7">
        <f>IF(A35="","",IFERROR(VLOOKUP(A35,Empleados!A:I,8,FALSE),""))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IF(A36="","",IFERROR(VLOOKUP(A36,Empleados!A:J,9,FALSE),""))</f>
        <v/>
      </c>
      <c r="D36" s="7">
        <f>IF(A36="","",IFERROR(VLOOKUP(A36,Empleados!A:I,8,FALSE),""))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IF(A37="","",IFERROR(VLOOKUP(A37,Empleados!A:J,9,FALSE),""))</f>
        <v/>
      </c>
      <c r="D37" s="7">
        <f>IF(A37="","",IFERROR(VLOOKUP(A37,Empleados!A:I,8,FALSE),""))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IF(A38="","",IFERROR(VLOOKUP(A38,Empleados!A:J,9,FALSE),""))</f>
        <v/>
      </c>
      <c r="D38" s="7">
        <f>IF(A38="","",IFERROR(VLOOKUP(A38,Empleados!A:I,8,FALSE),""))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IF(A39="","",IFERROR(VLOOKUP(A39,Empleados!A:J,9,FALSE),""))</f>
        <v/>
      </c>
      <c r="D39" s="7">
        <f>IF(A39="","",IFERROR(VLOOKUP(A39,Empleados!A:I,8,FALSE),""))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IF(A40="","",IFERROR(VLOOKUP(A40,Empleados!A:J,9,FALSE),""))</f>
        <v/>
      </c>
      <c r="D40" s="7">
        <f>IF(A40="","",IFERROR(VLOOKUP(A40,Empleados!A:I,8,FALSE),""))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IF(A41="","",IFERROR(VLOOKUP(A41,Empleados!A:J,9,FALSE),""))</f>
        <v/>
      </c>
      <c r="D41" s="7">
        <f>IF(A41="","",IFERROR(VLOOKUP(A41,Empleados!A:I,8,FALSE),""))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IF(A42="","",IFERROR(VLOOKUP(A42,Empleados!A:J,9,FALSE),""))</f>
        <v/>
      </c>
      <c r="D42" s="7">
        <f>IF(A42="","",IFERROR(VLOOKUP(A42,Empleados!A:I,8,FALSE),""))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IF(A43="","",IFERROR(VLOOKUP(A43,Empleados!A:J,9,FALSE),""))</f>
        <v/>
      </c>
      <c r="D43" s="7">
        <f>IF(A43="","",IFERROR(VLOOKUP(A43,Empleados!A:I,8,FALSE),""))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IF(A44="","",IFERROR(VLOOKUP(A44,Empleados!A:J,9,FALSE),""))</f>
        <v/>
      </c>
      <c r="D44" s="7">
        <f>IF(A44="","",IFERROR(VLOOKUP(A44,Empleados!A:I,8,FALSE),""))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IF(A45="","",IFERROR(VLOOKUP(A45,Empleados!A:J,9,FALSE),""))</f>
        <v/>
      </c>
      <c r="D45" s="7">
        <f>IF(A45="","",IFERROR(VLOOKUP(A45,Empleados!A:I,8,FALSE),""))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IF(A46="","",IFERROR(VLOOKUP(A46,Empleados!A:J,9,FALSE),""))</f>
        <v/>
      </c>
      <c r="D46" s="7">
        <f>IF(A46="","",IFERROR(VLOOKUP(A46,Empleados!A:I,8,FALSE),""))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IF(A47="","",IFERROR(VLOOKUP(A47,Empleados!A:J,9,FALSE),""))</f>
        <v/>
      </c>
      <c r="D47" s="7">
        <f>IF(A47="","",IFERROR(VLOOKUP(A47,Empleados!A:I,8,FALSE),""))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IF(A48="","",IFERROR(VLOOKUP(A48,Empleados!A:J,9,FALSE),""))</f>
        <v/>
      </c>
      <c r="D48" s="7">
        <f>IF(A48="","",IFERROR(VLOOKUP(A48,Empleados!A:I,8,FALSE),""))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IF(A49="","",IFERROR(VLOOKUP(A49,Empleados!A:J,9,FALSE),""))</f>
        <v/>
      </c>
      <c r="D49" s="7">
        <f>IF(A49="","",IFERROR(VLOOKUP(A49,Empleados!A:I,8,FALSE),""))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IF(A50="","",IFERROR(VLOOKUP(A50,Empleados!A:J,9,FALSE),""))</f>
        <v/>
      </c>
      <c r="D50" s="7">
        <f>IF(A50="","",IFERROR(VLOOKUP(A50,Empleados!A:I,8,FALSE),""))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IF(A51="","",IFERROR(VLOOKUP(A51,Empleados!A:J,9,FALSE),""))</f>
        <v/>
      </c>
      <c r="D51" s="7">
        <f>IF(A51="","",IFERROR(VLOOKUP(A51,Empleados!A:I,8,FALSE),""))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IF(A52="","",IFERROR(VLOOKUP(A52,Empleados!A:J,9,FALSE),""))</f>
        <v/>
      </c>
      <c r="D52" s="7">
        <f>IF(A52="","",IFERROR(VLOOKUP(A52,Empleados!A:I,8,FALSE),""))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IF(A53="","",IFERROR(VLOOKUP(A53,Empleados!A:J,9,FALSE),""))</f>
        <v/>
      </c>
      <c r="D53" s="7">
        <f>IF(A53="","",IFERROR(VLOOKUP(A53,Empleados!A:I,8,FALSE),""))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IF(A54="","",IFERROR(VLOOKUP(A54,Empleados!A:J,9,FALSE),""))</f>
        <v/>
      </c>
      <c r="D54" s="7">
        <f>IF(A54="","",IFERROR(VLOOKUP(A54,Empleados!A:I,8,FALSE),""))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IF(A55="","",IFERROR(VLOOKUP(A55,Empleados!A:J,9,FALSE),""))</f>
        <v/>
      </c>
      <c r="D55" s="7">
        <f>IF(A55="","",IFERROR(VLOOKUP(A55,Empleados!A:I,8,FALSE),""))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IF(A56="","",IFERROR(VLOOKUP(A56,Empleados!A:J,9,FALSE),""))</f>
        <v/>
      </c>
      <c r="D56" s="7">
        <f>IF(A56="","",IFERROR(VLOOKUP(A56,Empleados!A:I,8,FALSE),""))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IF(A57="","",IFERROR(VLOOKUP(A57,Empleados!A:J,9,FALSE),""))</f>
        <v/>
      </c>
      <c r="D57" s="7">
        <f>IF(A57="","",IFERROR(VLOOKUP(A57,Empleados!A:I,8,FALSE),""))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IF(A58="","",IFERROR(VLOOKUP(A58,Empleados!A:J,9,FALSE),""))</f>
        <v/>
      </c>
      <c r="D58" s="7">
        <f>IF(A58="","",IFERROR(VLOOKUP(A58,Empleados!A:I,8,FALSE),""))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IF(A59="","",IFERROR(VLOOKUP(A59,Empleados!A:J,9,FALSE),""))</f>
        <v/>
      </c>
      <c r="D59" s="7">
        <f>IF(A59="","",IFERROR(VLOOKUP(A59,Empleados!A:I,8,FALSE),""))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IF(A60="","",IFERROR(VLOOKUP(A60,Empleados!A:J,9,FALSE),""))</f>
        <v/>
      </c>
      <c r="D60" s="7">
        <f>IF(A60="","",IFERROR(VLOOKUP(A60,Empleados!A:I,8,FALSE),""))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IF(A61="","",IFERROR(VLOOKUP(A61,Empleados!A:J,9,FALSE),""))</f>
        <v/>
      </c>
      <c r="D61" s="7">
        <f>IF(A61="","",IFERROR(VLOOKUP(A61,Empleados!A:I,8,FALSE),""))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IF(A62="","",IFERROR(VLOOKUP(A62,Empleados!A:J,9,FALSE),""))</f>
        <v/>
      </c>
      <c r="D62" s="7">
        <f>IF(A62="","",IFERROR(VLOOKUP(A62,Empleados!A:I,8,FALSE),""))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IF(A63="","",IFERROR(VLOOKUP(A63,Empleados!A:J,9,FALSE),""))</f>
        <v/>
      </c>
      <c r="D63" s="7">
        <f>IF(A63="","",IFERROR(VLOOKUP(A63,Empleados!A:I,8,FALSE),""))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IF(A64="","",IFERROR(VLOOKUP(A64,Empleados!A:J,9,FALSE),""))</f>
        <v/>
      </c>
      <c r="D64" s="7">
        <f>IF(A64="","",IFERROR(VLOOKUP(A64,Empleados!A:I,8,FALSE),""))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IF(A65="","",IFERROR(VLOOKUP(A65,Empleados!A:J,9,FALSE),""))</f>
        <v/>
      </c>
      <c r="D65" s="7">
        <f>IF(A65="","",IFERROR(VLOOKUP(A65,Empleados!A:I,8,FALSE),""))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IF(A66="","",IFERROR(VLOOKUP(A66,Empleados!A:J,9,FALSE),""))</f>
        <v/>
      </c>
      <c r="D66" s="7">
        <f>IF(A66="","",IFERROR(VLOOKUP(A66,Empleados!A:I,8,FALSE),""))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IF(A67="","",IFERROR(VLOOKUP(A67,Empleados!A:J,9,FALSE),""))</f>
        <v/>
      </c>
      <c r="D67" s="7">
        <f>IF(A67="","",IFERROR(VLOOKUP(A67,Empleados!A:I,8,FALSE),""))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IF(A68="","",IFERROR(VLOOKUP(A68,Empleados!A:J,9,FALSE),""))</f>
        <v/>
      </c>
      <c r="D68" s="7">
        <f>IF(A68="","",IFERROR(VLOOKUP(A68,Empleados!A:I,8,FALSE),""))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IF(A69="","",IFERROR(VLOOKUP(A69,Empleados!A:J,9,FALSE),""))</f>
        <v/>
      </c>
      <c r="D69" s="7">
        <f>IF(A69="","",IFERROR(VLOOKUP(A69,Empleados!A:I,8,FALSE),""))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IF(A70="","",IFERROR(VLOOKUP(A70,Empleados!A:J,9,FALSE),""))</f>
        <v/>
      </c>
      <c r="D70" s="7">
        <f>IF(A70="","",IFERROR(VLOOKUP(A70,Empleados!A:I,8,FALSE),""))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IF(A71="","",IFERROR(VLOOKUP(A71,Empleados!A:J,9,FALSE),""))</f>
        <v/>
      </c>
      <c r="D71" s="7">
        <f>IF(A71="","",IFERROR(VLOOKUP(A71,Empleados!A:I,8,FALSE),""))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IF(A72="","",IFERROR(VLOOKUP(A72,Empleados!A:J,9,FALSE),""))</f>
        <v/>
      </c>
      <c r="D72" s="7">
        <f>IF(A72="","",IFERROR(VLOOKUP(A72,Empleados!A:I,8,FALSE),""))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IF(A73="","",IFERROR(VLOOKUP(A73,Empleados!A:J,9,FALSE),""))</f>
        <v/>
      </c>
      <c r="D73" s="7">
        <f>IF(A73="","",IFERROR(VLOOKUP(A73,Empleados!A:I,8,FALSE),""))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IF(A74="","",IFERROR(VLOOKUP(A74,Empleados!A:J,9,FALSE),""))</f>
        <v/>
      </c>
      <c r="D74" s="7">
        <f>IF(A74="","",IFERROR(VLOOKUP(A74,Empleados!A:I,8,FALSE),""))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IF(A75="","",IFERROR(VLOOKUP(A75,Empleados!A:J,9,FALSE),""))</f>
        <v/>
      </c>
      <c r="D75" s="7">
        <f>IF(A75="","",IFERROR(VLOOKUP(A75,Empleados!A:I,8,FALSE),""))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IF(A76="","",IFERROR(VLOOKUP(A76,Empleados!A:J,9,FALSE),""))</f>
        <v/>
      </c>
      <c r="D76" s="7">
        <f>IF(A76="","",IFERROR(VLOOKUP(A76,Empleados!A:I,8,FALSE),""))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IF(A77="","",IFERROR(VLOOKUP(A77,Empleados!A:J,9,FALSE),""))</f>
        <v/>
      </c>
      <c r="D77" s="7">
        <f>IF(A77="","",IFERROR(VLOOKUP(A77,Empleados!A:I,8,FALSE),""))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IF(A78="","",IFERROR(VLOOKUP(A78,Empleados!A:J,9,FALSE),""))</f>
        <v/>
      </c>
      <c r="D78" s="7">
        <f>IF(A78="","",IFERROR(VLOOKUP(A78,Empleados!A:I,8,FALSE),""))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IF(A79="","",IFERROR(VLOOKUP(A79,Empleados!A:J,9,FALSE),""))</f>
        <v/>
      </c>
      <c r="D79" s="7">
        <f>IF(A79="","",IFERROR(VLOOKUP(A79,Empleados!A:I,8,FALSE),""))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IF(A80="","",IFERROR(VLOOKUP(A80,Empleados!A:J,9,FALSE),""))</f>
        <v/>
      </c>
      <c r="D80" s="7">
        <f>IF(A80="","",IFERROR(VLOOKUP(A80,Empleados!A:I,8,FALSE),""))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IF(A81="","",IFERROR(VLOOKUP(A81,Empleados!A:J,9,FALSE),""))</f>
        <v/>
      </c>
      <c r="D81" s="7">
        <f>IF(A81="","",IFERROR(VLOOKUP(A81,Empleados!A:I,8,FALSE),""))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IF(A82="","",IFERROR(VLOOKUP(A82,Empleados!A:J,9,FALSE),""))</f>
        <v/>
      </c>
      <c r="D82" s="7">
        <f>IF(A82="","",IFERROR(VLOOKUP(A82,Empleados!A:I,8,FALSE),""))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IF(A83="","",IFERROR(VLOOKUP(A83,Empleados!A:J,9,FALSE),""))</f>
        <v/>
      </c>
      <c r="D83" s="7">
        <f>IF(A83="","",IFERROR(VLOOKUP(A83,Empleados!A:I,8,FALSE),""))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IF(A84="","",IFERROR(VLOOKUP(A84,Empleados!A:J,9,FALSE),""))</f>
        <v/>
      </c>
      <c r="D84" s="7">
        <f>IF(A84="","",IFERROR(VLOOKUP(A84,Empleados!A:I,8,FALSE),""))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IF(A85="","",IFERROR(VLOOKUP(A85,Empleados!A:J,9,FALSE),""))</f>
        <v/>
      </c>
      <c r="D85" s="7">
        <f>IF(A85="","",IFERROR(VLOOKUP(A85,Empleados!A:I,8,FALSE),""))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IF(A86="","",IFERROR(VLOOKUP(A86,Empleados!A:J,9,FALSE),""))</f>
        <v/>
      </c>
      <c r="D86" s="7">
        <f>IF(A86="","",IFERROR(VLOOKUP(A86,Empleados!A:I,8,FALSE),""))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IF(A87="","",IFERROR(VLOOKUP(A87,Empleados!A:J,9,FALSE),""))</f>
        <v/>
      </c>
      <c r="D87" s="7">
        <f>IF(A87="","",IFERROR(VLOOKUP(A87,Empleados!A:I,8,FALSE),""))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IF(A88="","",IFERROR(VLOOKUP(A88,Empleados!A:J,9,FALSE),""))</f>
        <v/>
      </c>
      <c r="D88" s="7">
        <f>IF(A88="","",IFERROR(VLOOKUP(A88,Empleados!A:I,8,FALSE),""))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IF(A89="","",IFERROR(VLOOKUP(A89,Empleados!A:J,9,FALSE),""))</f>
        <v/>
      </c>
      <c r="D89" s="7">
        <f>IF(A89="","",IFERROR(VLOOKUP(A89,Empleados!A:I,8,FALSE),""))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IF(A90="","",IFERROR(VLOOKUP(A90,Empleados!A:J,9,FALSE),""))</f>
        <v/>
      </c>
      <c r="D90" s="7">
        <f>IF(A90="","",IFERROR(VLOOKUP(A90,Empleados!A:I,8,FALSE),""))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IF(A91="","",IFERROR(VLOOKUP(A91,Empleados!A:J,9,FALSE),""))</f>
        <v/>
      </c>
      <c r="D91" s="7">
        <f>IF(A91="","",IFERROR(VLOOKUP(A91,Empleados!A:I,8,FALSE),""))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IF(A92="","",IFERROR(VLOOKUP(A92,Empleados!A:J,9,FALSE),""))</f>
        <v/>
      </c>
      <c r="D92" s="7">
        <f>IF(A92="","",IFERROR(VLOOKUP(A92,Empleados!A:I,8,FALSE),""))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IF(A93="","",IFERROR(VLOOKUP(A93,Empleados!A:J,9,FALSE),""))</f>
        <v/>
      </c>
      <c r="D93" s="7">
        <f>IF(A93="","",IFERROR(VLOOKUP(A93,Empleados!A:I,8,FALSE),""))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IF(A94="","",IFERROR(VLOOKUP(A94,Empleados!A:J,9,FALSE),""))</f>
        <v/>
      </c>
      <c r="D94" s="7">
        <f>IF(A94="","",IFERROR(VLOOKUP(A94,Empleados!A:I,8,FALSE),""))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IF(A95="","",IFERROR(VLOOKUP(A95,Empleados!A:J,9,FALSE),""))</f>
        <v/>
      </c>
      <c r="D95" s="7">
        <f>IF(A95="","",IFERROR(VLOOKUP(A95,Empleados!A:I,8,FALSE),""))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IF(A96="","",IFERROR(VLOOKUP(A96,Empleados!A:J,9,FALSE),""))</f>
        <v/>
      </c>
      <c r="D96" s="7">
        <f>IF(A96="","",IFERROR(VLOOKUP(A96,Empleados!A:I,8,FALSE),""))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IF(A97="","",IFERROR(VLOOKUP(A97,Empleados!A:J,9,FALSE),""))</f>
        <v/>
      </c>
      <c r="D97" s="7">
        <f>IF(A97="","",IFERROR(VLOOKUP(A97,Empleados!A:I,8,FALSE),""))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IF(A98="","",IFERROR(VLOOKUP(A98,Empleados!A:J,9,FALSE),""))</f>
        <v/>
      </c>
      <c r="D98" s="7">
        <f>IF(A98="","",IFERROR(VLOOKUP(A98,Empleados!A:I,8,FALSE),""))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IF(A99="","",IFERROR(VLOOKUP(A99,Empleados!A:J,9,FALSE),""))</f>
        <v/>
      </c>
      <c r="D99" s="7">
        <f>IF(A99="","",IFERROR(VLOOKUP(A99,Empleados!A:I,8,FALSE),""))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IF(A100="","",IFERROR(VLOOKUP(A100,Empleados!A:J,9,FALSE),""))</f>
        <v/>
      </c>
      <c r="D100" s="7">
        <f>IF(A100="","",IFERROR(VLOOKUP(A100,Empleados!A:I,8,FALSE),""))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IF(A101="","",IFERROR(VLOOKUP(A101,Empleados!A:J,9,FALSE),""))</f>
        <v/>
      </c>
      <c r="D101" s="7">
        <f>IF(A101="","",IFERROR(VLOOKUP(A101,Empleados!A:I,8,FALSE),""))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IF(A102="","",IFERROR(VLOOKUP(A102,Empleados!A:J,9,FALSE),""))</f>
        <v/>
      </c>
      <c r="D102" s="7">
        <f>IF(A102="","",IFERROR(VLOOKUP(A102,Empleados!A:I,8,FALSE),""))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IF(A103="","",IFERROR(VLOOKUP(A103,Empleados!A:J,9,FALSE),""))</f>
        <v/>
      </c>
      <c r="D103" s="7">
        <f>IF(A103="","",IFERROR(VLOOKUP(A103,Empleados!A:I,8,FALSE),""))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IF(A104="","",IFERROR(VLOOKUP(A104,Empleados!A:J,9,FALSE),""))</f>
        <v/>
      </c>
      <c r="D104" s="7">
        <f>IF(A104="","",IFERROR(VLOOKUP(A104,Empleados!A:I,8,FALSE),""))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IF(A105="","",IFERROR(VLOOKUP(A105,Empleados!A:J,9,FALSE),""))</f>
        <v/>
      </c>
      <c r="D105" s="7">
        <f>IF(A105="","",IFERROR(VLOOKUP(A105,Empleados!A:I,8,FALSE),""))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IF(A106="","",IFERROR(VLOOKUP(A106,Empleados!A:J,9,FALSE),""))</f>
        <v/>
      </c>
      <c r="D106" s="7">
        <f>IF(A106="","",IFERROR(VLOOKUP(A106,Empleados!A:I,8,FALSE),""))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IF(A107="","",IFERROR(VLOOKUP(A107,Empleados!A:J,9,FALSE),""))</f>
        <v/>
      </c>
      <c r="D107" s="7">
        <f>IF(A107="","",IFERROR(VLOOKUP(A107,Empleados!A:I,8,FALSE),""))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IF(A108="","",IFERROR(VLOOKUP(A108,Empleados!A:J,9,FALSE),""))</f>
        <v/>
      </c>
      <c r="D108" s="7">
        <f>IF(A108="","",IFERROR(VLOOKUP(A108,Empleados!A:I,8,FALSE),""))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IF(A109="","",IFERROR(VLOOKUP(A109,Empleados!A:J,9,FALSE),""))</f>
        <v/>
      </c>
      <c r="D109" s="7">
        <f>IF(A109="","",IFERROR(VLOOKUP(A109,Empleados!A:I,8,FALSE),""))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IF(A110="","",IFERROR(VLOOKUP(A110,Empleados!A:J,9,FALSE),""))</f>
        <v/>
      </c>
      <c r="D110" s="7">
        <f>IF(A110="","",IFERROR(VLOOKUP(A110,Empleados!A:I,8,FALSE),""))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IF(A111="","",IFERROR(VLOOKUP(A111,Empleados!A:J,9,FALSE),""))</f>
        <v/>
      </c>
      <c r="D111" s="7">
        <f>IF(A111="","",IFERROR(VLOOKUP(A111,Empleados!A:I,8,FALSE),""))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IF(A112="","",IFERROR(VLOOKUP(A112,Empleados!A:J,9,FALSE),""))</f>
        <v/>
      </c>
      <c r="D112" s="7">
        <f>IF(A112="","",IFERROR(VLOOKUP(A112,Empleados!A:I,8,FALSE),""))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IF(A113="","",IFERROR(VLOOKUP(A113,Empleados!A:J,9,FALSE),""))</f>
        <v/>
      </c>
      <c r="D113" s="7">
        <f>IF(A113="","",IFERROR(VLOOKUP(A113,Empleados!A:I,8,FALSE),""))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IF(A114="","",IFERROR(VLOOKUP(A114,Empleados!A:J,9,FALSE),""))</f>
        <v/>
      </c>
      <c r="D114" s="7">
        <f>IF(A114="","",IFERROR(VLOOKUP(A114,Empleados!A:I,8,FALSE),""))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IF(A115="","",IFERROR(VLOOKUP(A115,Empleados!A:J,9,FALSE),""))</f>
        <v/>
      </c>
      <c r="D115" s="7">
        <f>IF(A115="","",IFERROR(VLOOKUP(A115,Empleados!A:I,8,FALSE),""))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IF(A116="","",IFERROR(VLOOKUP(A116,Empleados!A:J,9,FALSE),""))</f>
        <v/>
      </c>
      <c r="D116" s="7">
        <f>IF(A116="","",IFERROR(VLOOKUP(A116,Empleados!A:I,8,FALSE),""))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IF(A117="","",IFERROR(VLOOKUP(A117,Empleados!A:J,9,FALSE),""))</f>
        <v/>
      </c>
      <c r="D117" s="7">
        <f>IF(A117="","",IFERROR(VLOOKUP(A117,Empleados!A:I,8,FALSE),""))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IF(A118="","",IFERROR(VLOOKUP(A118,Empleados!A:J,9,FALSE),""))</f>
        <v/>
      </c>
      <c r="D118" s="7">
        <f>IF(A118="","",IFERROR(VLOOKUP(A118,Empleados!A:I,8,FALSE),""))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IF(A119="","",IFERROR(VLOOKUP(A119,Empleados!A:J,9,FALSE),""))</f>
        <v/>
      </c>
      <c r="D119" s="7">
        <f>IF(A119="","",IFERROR(VLOOKUP(A119,Empleados!A:I,8,FALSE),""))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IF(A120="","",IFERROR(VLOOKUP(A120,Empleados!A:J,9,FALSE),""))</f>
        <v/>
      </c>
      <c r="D120" s="7">
        <f>IF(A120="","",IFERROR(VLOOKUP(A120,Empleados!A:I,8,FALSE),""))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IF(A121="","",IFERROR(VLOOKUP(A121,Empleados!A:J,9,FALSE),""))</f>
        <v/>
      </c>
      <c r="D121" s="7">
        <f>IF(A121="","",IFERROR(VLOOKUP(A121,Empleados!A:I,8,FALSE),""))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IF(A122="","",IFERROR(VLOOKUP(A122,Empleados!A:J,9,FALSE),""))</f>
        <v/>
      </c>
      <c r="D122" s="7">
        <f>IF(A122="","",IFERROR(VLOOKUP(A122,Empleados!A:I,8,FALSE),""))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IF(A123="","",IFERROR(VLOOKUP(A123,Empleados!A:J,9,FALSE),""))</f>
        <v/>
      </c>
      <c r="D123" s="7">
        <f>IF(A123="","",IFERROR(VLOOKUP(A123,Empleados!A:I,8,FALSE),""))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IF(A124="","",IFERROR(VLOOKUP(A124,Empleados!A:J,9,FALSE),""))</f>
        <v/>
      </c>
      <c r="D124" s="7">
        <f>IF(A124="","",IFERROR(VLOOKUP(A124,Empleados!A:I,8,FALSE),""))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IF(A125="","",IFERROR(VLOOKUP(A125,Empleados!A:J,9,FALSE),""))</f>
        <v/>
      </c>
      <c r="D125" s="7">
        <f>IF(A125="","",IFERROR(VLOOKUP(A125,Empleados!A:I,8,FALSE),""))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IF(A126="","",IFERROR(VLOOKUP(A126,Empleados!A:J,9,FALSE),""))</f>
        <v/>
      </c>
      <c r="D126" s="7">
        <f>IF(A126="","",IFERROR(VLOOKUP(A126,Empleados!A:I,8,FALSE),""))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IF(A127="","",IFERROR(VLOOKUP(A127,Empleados!A:J,9,FALSE),""))</f>
        <v/>
      </c>
      <c r="D127" s="7">
        <f>IF(A127="","",IFERROR(VLOOKUP(A127,Empleados!A:I,8,FALSE),""))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IF(A128="","",IFERROR(VLOOKUP(A128,Empleados!A:J,9,FALSE),""))</f>
        <v/>
      </c>
      <c r="D128" s="7">
        <f>IF(A128="","",IFERROR(VLOOKUP(A128,Empleados!A:I,8,FALSE),""))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IF(A129="","",IFERROR(VLOOKUP(A129,Empleados!A:J,9,FALSE),""))</f>
        <v/>
      </c>
      <c r="D129" s="7">
        <f>IF(A129="","",IFERROR(VLOOKUP(A129,Empleados!A:I,8,FALSE),""))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IF(A130="","",IFERROR(VLOOKUP(A130,Empleados!A:J,9,FALSE),""))</f>
        <v/>
      </c>
      <c r="D130" s="7">
        <f>IF(A130="","",IFERROR(VLOOKUP(A130,Empleados!A:I,8,FALSE),""))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IF(A131="","",IFERROR(VLOOKUP(A131,Empleados!A:J,9,FALSE),""))</f>
        <v/>
      </c>
      <c r="D131" s="7">
        <f>IF(A131="","",IFERROR(VLOOKUP(A131,Empleados!A:I,8,FALSE),""))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IF(A132="","",IFERROR(VLOOKUP(A132,Empleados!A:J,9,FALSE),""))</f>
        <v/>
      </c>
      <c r="D132" s="7">
        <f>IF(A132="","",IFERROR(VLOOKUP(A132,Empleados!A:I,8,FALSE),""))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IF(A133="","",IFERROR(VLOOKUP(A133,Empleados!A:J,9,FALSE),""))</f>
        <v/>
      </c>
      <c r="D133" s="7">
        <f>IF(A133="","",IFERROR(VLOOKUP(A133,Empleados!A:I,8,FALSE),""))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IF(A134="","",IFERROR(VLOOKUP(A134,Empleados!A:J,9,FALSE),""))</f>
        <v/>
      </c>
      <c r="D134" s="7">
        <f>IF(A134="","",IFERROR(VLOOKUP(A134,Empleados!A:I,8,FALSE),""))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IF(A135="","",IFERROR(VLOOKUP(A135,Empleados!A:J,9,FALSE),""))</f>
        <v/>
      </c>
      <c r="D135" s="7">
        <f>IF(A135="","",IFERROR(VLOOKUP(A135,Empleados!A:I,8,FALSE),""))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IF(A136="","",IFERROR(VLOOKUP(A136,Empleados!A:J,9,FALSE),""))</f>
        <v/>
      </c>
      <c r="D136" s="7">
        <f>IF(A136="","",IFERROR(VLOOKUP(A136,Empleados!A:I,8,FALSE),""))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IF(A137="","",IFERROR(VLOOKUP(A137,Empleados!A:J,9,FALSE),""))</f>
        <v/>
      </c>
      <c r="D137" s="7">
        <f>IF(A137="","",IFERROR(VLOOKUP(A137,Empleados!A:I,8,FALSE),""))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IF(A138="","",IFERROR(VLOOKUP(A138,Empleados!A:J,9,FALSE),""))</f>
        <v/>
      </c>
      <c r="D138" s="7">
        <f>IF(A138="","",IFERROR(VLOOKUP(A138,Empleados!A:I,8,FALSE),""))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IF(A139="","",IFERROR(VLOOKUP(A139,Empleados!A:J,9,FALSE),""))</f>
        <v/>
      </c>
      <c r="D139" s="7">
        <f>IF(A139="","",IFERROR(VLOOKUP(A139,Empleados!A:I,8,FALSE),""))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IF(A140="","",IFERROR(VLOOKUP(A140,Empleados!A:J,9,FALSE),""))</f>
        <v/>
      </c>
      <c r="D140" s="7">
        <f>IF(A140="","",IFERROR(VLOOKUP(A140,Empleados!A:I,8,FALSE),""))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IF(A141="","",IFERROR(VLOOKUP(A141,Empleados!A:J,9,FALSE),""))</f>
        <v/>
      </c>
      <c r="D141" s="7">
        <f>IF(A141="","",IFERROR(VLOOKUP(A141,Empleados!A:I,8,FALSE),""))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IF(A142="","",IFERROR(VLOOKUP(A142,Empleados!A:J,9,FALSE),""))</f>
        <v/>
      </c>
      <c r="D142" s="7">
        <f>IF(A142="","",IFERROR(VLOOKUP(A142,Empleados!A:I,8,FALSE),""))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IF(A143="","",IFERROR(VLOOKUP(A143,Empleados!A:J,9,FALSE),""))</f>
        <v/>
      </c>
      <c r="D143" s="7">
        <f>IF(A143="","",IFERROR(VLOOKUP(A143,Empleados!A:I,8,FALSE),""))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IF(A144="","",IFERROR(VLOOKUP(A144,Empleados!A:J,9,FALSE),""))</f>
        <v/>
      </c>
      <c r="D144" s="7">
        <f>IF(A144="","",IFERROR(VLOOKUP(A144,Empleados!A:I,8,FALSE),""))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IF(A145="","",IFERROR(VLOOKUP(A145,Empleados!A:J,9,FALSE),""))</f>
        <v/>
      </c>
      <c r="D145" s="7">
        <f>IF(A145="","",IFERROR(VLOOKUP(A145,Empleados!A:I,8,FALSE),""))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IF(A146="","",IFERROR(VLOOKUP(A146,Empleados!A:J,9,FALSE),""))</f>
        <v/>
      </c>
      <c r="D146" s="7">
        <f>IF(A146="","",IFERROR(VLOOKUP(A146,Empleados!A:I,8,FALSE),""))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IF(A147="","",IFERROR(VLOOKUP(A147,Empleados!A:J,9,FALSE),""))</f>
        <v/>
      </c>
      <c r="D147" s="7">
        <f>IF(A147="","",IFERROR(VLOOKUP(A147,Empleados!A:I,8,FALSE),""))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IF(A148="","",IFERROR(VLOOKUP(A148,Empleados!A:J,9,FALSE),""))</f>
        <v/>
      </c>
      <c r="D148" s="7">
        <f>IF(A148="","",IFERROR(VLOOKUP(A148,Empleados!A:I,8,FALSE),""))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IF(A149="","",IFERROR(VLOOKUP(A149,Empleados!A:J,9,FALSE),""))</f>
        <v/>
      </c>
      <c r="D149" s="7">
        <f>IF(A149="","",IFERROR(VLOOKUP(A149,Empleados!A:I,8,FALSE),""))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IF(A150="","",IFERROR(VLOOKUP(A150,Empleados!A:J,9,FALSE),""))</f>
        <v/>
      </c>
      <c r="D150" s="7">
        <f>IF(A150="","",IFERROR(VLOOKUP(A150,Empleados!A:I,8,FALSE),""))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IF(A151="","",IFERROR(VLOOKUP(A151,Empleados!A:J,9,FALSE),""))</f>
        <v/>
      </c>
      <c r="D151" s="7">
        <f>IF(A151="","",IFERROR(VLOOKUP(A151,Empleados!A:I,8,FALSE),""))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IF(A152="","",IFERROR(VLOOKUP(A152,Empleados!A:J,9,FALSE),""))</f>
        <v/>
      </c>
      <c r="D152" s="7">
        <f>IF(A152="","",IFERROR(VLOOKUP(A152,Empleados!A:I,8,FALSE),""))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IF(A153="","",IFERROR(VLOOKUP(A153,Empleados!A:J,9,FALSE),""))</f>
        <v/>
      </c>
      <c r="D153" s="7">
        <f>IF(A153="","",IFERROR(VLOOKUP(A153,Empleados!A:I,8,FALSE),""))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IF(A154="","",IFERROR(VLOOKUP(A154,Empleados!A:J,9,FALSE),""))</f>
        <v/>
      </c>
      <c r="D154" s="7">
        <f>IF(A154="","",IFERROR(VLOOKUP(A154,Empleados!A:I,8,FALSE),""))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IF(A155="","",IFERROR(VLOOKUP(A155,Empleados!A:J,9,FALSE),""))</f>
        <v/>
      </c>
      <c r="D155" s="7">
        <f>IF(A155="","",IFERROR(VLOOKUP(A155,Empleados!A:I,8,FALSE),""))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IF(A156="","",IFERROR(VLOOKUP(A156,Empleados!A:J,9,FALSE),""))</f>
        <v/>
      </c>
      <c r="D156" s="7">
        <f>IF(A156="","",IFERROR(VLOOKUP(A156,Empleados!A:I,8,FALSE),""))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IF(A157="","",IFERROR(VLOOKUP(A157,Empleados!A:J,9,FALSE),""))</f>
        <v/>
      </c>
      <c r="D157" s="7">
        <f>IF(A157="","",IFERROR(VLOOKUP(A157,Empleados!A:I,8,FALSE),""))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IF(A158="","",IFERROR(VLOOKUP(A158,Empleados!A:J,9,FALSE),""))</f>
        <v/>
      </c>
      <c r="D158" s="7">
        <f>IF(A158="","",IFERROR(VLOOKUP(A158,Empleados!A:I,8,FALSE),""))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IF(A159="","",IFERROR(VLOOKUP(A159,Empleados!A:J,9,FALSE),""))</f>
        <v/>
      </c>
      <c r="D159" s="7">
        <f>IF(A159="","",IFERROR(VLOOKUP(A159,Empleados!A:I,8,FALSE),""))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IF(A160="","",IFERROR(VLOOKUP(A160,Empleados!A:J,9,FALSE),""))</f>
        <v/>
      </c>
      <c r="D160" s="7">
        <f>IF(A160="","",IFERROR(VLOOKUP(A160,Empleados!A:I,8,FALSE),""))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IF(A161="","",IFERROR(VLOOKUP(A161,Empleados!A:J,9,FALSE),""))</f>
        <v/>
      </c>
      <c r="D161" s="7">
        <f>IF(A161="","",IFERROR(VLOOKUP(A161,Empleados!A:I,8,FALSE),""))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IF(A162="","",IFERROR(VLOOKUP(A162,Empleados!A:J,9,FALSE),""))</f>
        <v/>
      </c>
      <c r="D162" s="7">
        <f>IF(A162="","",IFERROR(VLOOKUP(A162,Empleados!A:I,8,FALSE),""))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IF(A163="","",IFERROR(VLOOKUP(A163,Empleados!A:J,9,FALSE),""))</f>
        <v/>
      </c>
      <c r="D163" s="7">
        <f>IF(A163="","",IFERROR(VLOOKUP(A163,Empleados!A:I,8,FALSE),""))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IF(A164="","",IFERROR(VLOOKUP(A164,Empleados!A:J,9,FALSE),""))</f>
        <v/>
      </c>
      <c r="D164" s="7">
        <f>IF(A164="","",IFERROR(VLOOKUP(A164,Empleados!A:I,8,FALSE),""))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IF(A165="","",IFERROR(VLOOKUP(A165,Empleados!A:J,9,FALSE),""))</f>
        <v/>
      </c>
      <c r="D165" s="7">
        <f>IF(A165="","",IFERROR(VLOOKUP(A165,Empleados!A:I,8,FALSE),""))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IF(A166="","",IFERROR(VLOOKUP(A166,Empleados!A:J,9,FALSE),""))</f>
        <v/>
      </c>
      <c r="D166" s="7">
        <f>IF(A166="","",IFERROR(VLOOKUP(A166,Empleados!A:I,8,FALSE),""))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IF(A167="","",IFERROR(VLOOKUP(A167,Empleados!A:J,9,FALSE),""))</f>
        <v/>
      </c>
      <c r="D167" s="7">
        <f>IF(A167="","",IFERROR(VLOOKUP(A167,Empleados!A:I,8,FALSE),""))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IF(A168="","",IFERROR(VLOOKUP(A168,Empleados!A:J,9,FALSE),""))</f>
        <v/>
      </c>
      <c r="D168" s="7">
        <f>IF(A168="","",IFERROR(VLOOKUP(A168,Empleados!A:I,8,FALSE),""))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IF(A169="","",IFERROR(VLOOKUP(A169,Empleados!A:J,9,FALSE),""))</f>
        <v/>
      </c>
      <c r="D169" s="7">
        <f>IF(A169="","",IFERROR(VLOOKUP(A169,Empleados!A:I,8,FALSE),""))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IF(A170="","",IFERROR(VLOOKUP(A170,Empleados!A:J,9,FALSE),""))</f>
        <v/>
      </c>
      <c r="D170" s="7">
        <f>IF(A170="","",IFERROR(VLOOKUP(A170,Empleados!A:I,8,FALSE),""))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IF(A171="","",IFERROR(VLOOKUP(A171,Empleados!A:J,9,FALSE),""))</f>
        <v/>
      </c>
      <c r="D171" s="7">
        <f>IF(A171="","",IFERROR(VLOOKUP(A171,Empleados!A:I,8,FALSE),""))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IF(A172="","",IFERROR(VLOOKUP(A172,Empleados!A:J,9,FALSE),""))</f>
        <v/>
      </c>
      <c r="D172" s="7">
        <f>IF(A172="","",IFERROR(VLOOKUP(A172,Empleados!A:I,8,FALSE),""))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IF(A173="","",IFERROR(VLOOKUP(A173,Empleados!A:J,9,FALSE),""))</f>
        <v/>
      </c>
      <c r="D173" s="7">
        <f>IF(A173="","",IFERROR(VLOOKUP(A173,Empleados!A:I,8,FALSE),""))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IF(A174="","",IFERROR(VLOOKUP(A174,Empleados!A:J,9,FALSE),""))</f>
        <v/>
      </c>
      <c r="D174" s="7">
        <f>IF(A174="","",IFERROR(VLOOKUP(A174,Empleados!A:I,8,FALSE),""))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IF(A175="","",IFERROR(VLOOKUP(A175,Empleados!A:J,9,FALSE),""))</f>
        <v/>
      </c>
      <c r="D175" s="7">
        <f>IF(A175="","",IFERROR(VLOOKUP(A175,Empleados!A:I,8,FALSE),""))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IF(A176="","",IFERROR(VLOOKUP(A176,Empleados!A:J,9,FALSE),""))</f>
        <v/>
      </c>
      <c r="D176" s="7">
        <f>IF(A176="","",IFERROR(VLOOKUP(A176,Empleados!A:I,8,FALSE),""))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IF(A177="","",IFERROR(VLOOKUP(A177,Empleados!A:J,9,FALSE),""))</f>
        <v/>
      </c>
      <c r="D177" s="7">
        <f>IF(A177="","",IFERROR(VLOOKUP(A177,Empleados!A:I,8,FALSE),""))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IF(A178="","",IFERROR(VLOOKUP(A178,Empleados!A:J,9,FALSE),""))</f>
        <v/>
      </c>
      <c r="D178" s="7">
        <f>IF(A178="","",IFERROR(VLOOKUP(A178,Empleados!A:I,8,FALSE),""))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IF(A179="","",IFERROR(VLOOKUP(A179,Empleados!A:J,9,FALSE),""))</f>
        <v/>
      </c>
      <c r="D179" s="7">
        <f>IF(A179="","",IFERROR(VLOOKUP(A179,Empleados!A:I,8,FALSE),""))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IF(A180="","",IFERROR(VLOOKUP(A180,Empleados!A:J,9,FALSE),""))</f>
        <v/>
      </c>
      <c r="D180" s="7">
        <f>IF(A180="","",IFERROR(VLOOKUP(A180,Empleados!A:I,8,FALSE),""))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IF(A181="","",IFERROR(VLOOKUP(A181,Empleados!A:J,9,FALSE),""))</f>
        <v/>
      </c>
      <c r="D181" s="7">
        <f>IF(A181="","",IFERROR(VLOOKUP(A181,Empleados!A:I,8,FALSE),""))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IF(A182="","",IFERROR(VLOOKUP(A182,Empleados!A:J,9,FALSE),""))</f>
        <v/>
      </c>
      <c r="D182" s="7">
        <f>IF(A182="","",IFERROR(VLOOKUP(A182,Empleados!A:I,8,FALSE),""))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IF(A183="","",IFERROR(VLOOKUP(A183,Empleados!A:J,9,FALSE),""))</f>
        <v/>
      </c>
      <c r="D183" s="7">
        <f>IF(A183="","",IFERROR(VLOOKUP(A183,Empleados!A:I,8,FALSE),""))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IF(A184="","",IFERROR(VLOOKUP(A184,Empleados!A:J,9,FALSE),""))</f>
        <v/>
      </c>
      <c r="D184" s="7">
        <f>IF(A184="","",IFERROR(VLOOKUP(A184,Empleados!A:I,8,FALSE),""))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IF(A185="","",IFERROR(VLOOKUP(A185,Empleados!A:J,9,FALSE),""))</f>
        <v/>
      </c>
      <c r="D185" s="7">
        <f>IF(A185="","",IFERROR(VLOOKUP(A185,Empleados!A:I,8,FALSE),""))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IF(A186="","",IFERROR(VLOOKUP(A186,Empleados!A:J,9,FALSE),""))</f>
        <v/>
      </c>
      <c r="D186" s="7">
        <f>IF(A186="","",IFERROR(VLOOKUP(A186,Empleados!A:I,8,FALSE),""))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IF(A187="","",IFERROR(VLOOKUP(A187,Empleados!A:J,9,FALSE),""))</f>
        <v/>
      </c>
      <c r="D187" s="7">
        <f>IF(A187="","",IFERROR(VLOOKUP(A187,Empleados!A:I,8,FALSE),""))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IF(A188="","",IFERROR(VLOOKUP(A188,Empleados!A:J,9,FALSE),""))</f>
        <v/>
      </c>
      <c r="D188" s="7">
        <f>IF(A188="","",IFERROR(VLOOKUP(A188,Empleados!A:I,8,FALSE),""))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IF(A189="","",IFERROR(VLOOKUP(A189,Empleados!A:J,9,FALSE),""))</f>
        <v/>
      </c>
      <c r="D189" s="7">
        <f>IF(A189="","",IFERROR(VLOOKUP(A189,Empleados!A:I,8,FALSE),""))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IF(A190="","",IFERROR(VLOOKUP(A190,Empleados!A:J,9,FALSE),""))</f>
        <v/>
      </c>
      <c r="D190" s="7">
        <f>IF(A190="","",IFERROR(VLOOKUP(A190,Empleados!A:I,8,FALSE),""))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IF(A191="","",IFERROR(VLOOKUP(A191,Empleados!A:J,9,FALSE),""))</f>
        <v/>
      </c>
      <c r="D191" s="7">
        <f>IF(A191="","",IFERROR(VLOOKUP(A191,Empleados!A:I,8,FALSE),""))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IF(A192="","",IFERROR(VLOOKUP(A192,Empleados!A:J,9,FALSE),""))</f>
        <v/>
      </c>
      <c r="D192" s="7">
        <f>IF(A192="","",IFERROR(VLOOKUP(A192,Empleados!A:I,8,FALSE),""))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IF(A193="","",IFERROR(VLOOKUP(A193,Empleados!A:J,9,FALSE),""))</f>
        <v/>
      </c>
      <c r="D193" s="7">
        <f>IF(A193="","",IFERROR(VLOOKUP(A193,Empleados!A:I,8,FALSE),""))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IF(A194="","",IFERROR(VLOOKUP(A194,Empleados!A:J,9,FALSE),""))</f>
        <v/>
      </c>
      <c r="D194" s="7">
        <f>IF(A194="","",IFERROR(VLOOKUP(A194,Empleados!A:I,8,FALSE),""))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IF(A195="","",IFERROR(VLOOKUP(A195,Empleados!A:J,9,FALSE),""))</f>
        <v/>
      </c>
      <c r="D195" s="7">
        <f>IF(A195="","",IFERROR(VLOOKUP(A195,Empleados!A:I,8,FALSE),""))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IF(A196="","",IFERROR(VLOOKUP(A196,Empleados!A:J,9,FALSE),""))</f>
        <v/>
      </c>
      <c r="D196" s="7">
        <f>IF(A196="","",IFERROR(VLOOKUP(A196,Empleados!A:I,8,FALSE),""))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IF(A197="","",IFERROR(VLOOKUP(A197,Empleados!A:J,9,FALSE),""))</f>
        <v/>
      </c>
      <c r="D197" s="7">
        <f>IF(A197="","",IFERROR(VLOOKUP(A197,Empleados!A:I,8,FALSE),""))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</sheetData>
  <conditionalFormatting sqref="E2:E197">
    <cfRule type="expression" priority="1" dxfId="4">
      <formula>$E2="VACACIONES"</formula>
    </cfRule>
    <cfRule type="expression" priority="2" dxfId="3">
      <formula>$E2="ENFERMEDAD"</formula>
    </cfRule>
  </conditionalFormatting>
  <conditionalFormatting sqref="I2:I197">
    <cfRule type="expression" priority="3" dxfId="2">
      <formula>$I2="PENDIENTE"</formula>
    </cfRule>
    <cfRule type="expression" priority="4" dxfId="1">
      <formula>$I2="APROBADO"</formula>
    </cfRule>
  </conditionalFormatting>
  <dataValidations count="14"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8671875" defaultRowHeight="14.4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2026-06-24T12:58:04Z</dcterms:modified>
  <cp:lastModifiedBy>Lucas Zeller</cp:lastModifiedBy>
</cp:coreProperties>
</file>