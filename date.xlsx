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-105" windowWidth="23250" windowHeight="12450" tabRatio="600" firstSheet="0" activeTab="1" autoFilterDateGrouping="1"/>
  </bookViews>
  <sheets>
    <sheet name="Empleados" sheetId="1" state="visible" r:id="rId1"/>
    <sheet name="Ausencias" sheetId="2" state="visible" r:id="rId2"/>
    <sheet name="Config" sheetId="3" state="visible" r:id="rId3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2"/>
  </cellStyleXfs>
  <cellXfs count="16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14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0" borderId="0" pivotButton="0" quotePrefix="0" xfId="0"/>
    <xf numFmtId="0" fontId="3" fillId="0" borderId="2" pivotButton="0" quotePrefix="0" xfId="0"/>
    <xf numFmtId="0" fontId="3" fillId="0" borderId="0" applyAlignment="1" pivotButton="0" quotePrefix="0" xfId="0">
      <alignment wrapText="1"/>
    </xf>
    <xf numFmtId="0" fontId="0" fillId="0" borderId="2" applyAlignment="1" pivotButton="0" quotePrefix="0" xfId="0">
      <alignment horizontal="center"/>
    </xf>
  </cellXfs>
  <cellStyles count="1">
    <cellStyle name="Normal" xfId="0" builtinId="0"/>
  </cellStyles>
  <dxfs count="8"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9EAF7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25" formatCode="hh:mm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Empleados" displayName="TablaEmpleados" ref="A1:K30" headerRowCount="1">
  <autoFilter ref="A1:K30"/>
  <tableColumns count="11">
    <tableColumn id="1" name="Id"/>
    <tableColumn id="2" name="Nombre"/>
    <tableColumn id="3" name="horario ingreso Mañana"/>
    <tableColumn id="4" name="Horario salida Mañana"/>
    <tableColumn id="5" name="Horario Ingreso Tarde"/>
    <tableColumn id="6" name="Horario Salida Tarde"/>
    <tableColumn id="7" name="Contratacion"/>
    <tableColumn id="8" name="Horario corrido"/>
    <tableColumn id="9" name="Dias"/>
    <tableColumn id="10" name="grupo"/>
    <tableColumn id="11" name="Horas normal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Ausencias" displayName="TablaAusencias" ref="A1:K197" headerRowCount="1">
  <tableColumns count="11">
    <tableColumn id="1" name="Legajo"/>
    <tableColumn id="2" name="Nombre (auto)" dataDxfId="6">
      <calculatedColumnFormula>IF(A2="","",IFERROR(VLOOKUP(A2,Empleados!A:B,2,FALSE),""))</calculatedColumnFormula>
    </tableColumn>
    <tableColumn id="3" name="Grupo (auto)" dataDxfId="5">
      <calculatedColumnFormula>IF(A2="","",IFERROR(VLOOKUP(A2,Empleados!A:J,9,FALSE),""))</calculatedColumnFormula>
    </tableColumn>
    <tableColumn id="4" name="Días laborales (auto)" dataDxfId="4">
      <calculatedColumnFormula>IF(A2="","",IFERROR(VLOOKUP(A2,Empleados!A:I,8,FALSE),""))</calculatedColumnFormula>
    </tableColumn>
    <tableColumn id="6" name="Tipo ausencia"/>
    <tableColumn id="7" name="Fecha desde"/>
    <tableColumn id="8" name="Fecha hasta"/>
    <tableColumn id="9" name="Días corridos">
      <calculatedColumnFormula>IF(OR(F2="",G2=""),"",G2-F2+1)</calculatedColumnFormula>
    </tableColumn>
    <tableColumn id="10" name="Estado">
      <calculatedColumnFormula>IF(A2="","","PENDIENTE")</calculatedColumnFormula>
    </tableColumn>
    <tableColumn id="11" name="Observación"/>
    <tableColumn id="12" name="Clave contro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3" customWidth="1" min="4" max="4"/>
    <col width="13" customWidth="1" min="5" max="5"/>
    <col width="13" customWidth="1" min="6" max="6"/>
    <col width="18" customWidth="1" min="7" max="7"/>
    <col width="16" customWidth="1" min="8" max="8"/>
    <col width="22.3" customWidth="1" min="9" max="9"/>
    <col width="20" customWidth="1" min="10" max="10"/>
    <col width="13" customWidth="1" min="11" max="11"/>
  </cols>
  <sheetData>
    <row r="1">
      <c r="A1" t="inlineStr">
        <is>
          <t>Id</t>
        </is>
      </c>
      <c r="B1" t="inlineStr">
        <is>
          <t>Nombre</t>
        </is>
      </c>
      <c r="C1" t="inlineStr">
        <is>
          <t>horario ingreso Mañana</t>
        </is>
      </c>
      <c r="D1" t="inlineStr">
        <is>
          <t>Horario salida Mañana</t>
        </is>
      </c>
      <c r="E1" t="inlineStr">
        <is>
          <t>Horario Ingreso Tarde</t>
        </is>
      </c>
      <c r="F1" t="inlineStr">
        <is>
          <t>Horario Salida Tarde</t>
        </is>
      </c>
      <c r="G1" t="inlineStr">
        <is>
          <t>Contratacion</t>
        </is>
      </c>
      <c r="H1" t="inlineStr">
        <is>
          <t>Horario corrido</t>
        </is>
      </c>
      <c r="I1" t="inlineStr">
        <is>
          <t>Dias</t>
        </is>
      </c>
      <c r="J1" t="inlineStr">
        <is>
          <t>grupo</t>
        </is>
      </c>
      <c r="K1" t="inlineStr">
        <is>
          <t>Horas normales</t>
        </is>
      </c>
    </row>
    <row r="2">
      <c r="A2" t="n">
        <v>1</v>
      </c>
      <c r="B2" t="inlineStr">
        <is>
          <t>Todos</t>
        </is>
      </c>
    </row>
    <row r="3">
      <c r="A3" t="n">
        <v>20</v>
      </c>
      <c r="B3" t="inlineStr">
        <is>
          <t>De Carli Gonzalo</t>
        </is>
      </c>
      <c r="C3" t="inlineStr">
        <is>
          <t>07:30:00</t>
        </is>
      </c>
      <c r="D3" t="inlineStr">
        <is>
          <t>12:00:00</t>
        </is>
      </c>
      <c r="E3" t="inlineStr">
        <is>
          <t>13:15:00</t>
        </is>
      </c>
      <c r="F3" t="inlineStr">
        <is>
          <t>17:45:00</t>
        </is>
      </c>
      <c r="G3" t="inlineStr">
        <is>
          <t>Mensual</t>
        </is>
      </c>
      <c r="H3" t="inlineStr">
        <is>
          <t>NO</t>
        </is>
      </c>
      <c r="I3" t="inlineStr">
        <is>
          <t>lunes a viernes</t>
        </is>
      </c>
      <c r="J3" t="inlineStr">
        <is>
          <t>Administracion</t>
        </is>
      </c>
      <c r="K3" t="inlineStr">
        <is>
          <t>9</t>
        </is>
      </c>
    </row>
    <row r="4">
      <c r="A4" t="n">
        <v>43</v>
      </c>
      <c r="B4" t="inlineStr">
        <is>
          <t>Vanegas Leandro</t>
        </is>
      </c>
      <c r="C4" t="inlineStr">
        <is>
          <t>06:30:00</t>
        </is>
      </c>
      <c r="D4" t="inlineStr">
        <is>
          <t>12:00:00</t>
        </is>
      </c>
      <c r="E4" t="inlineStr">
        <is>
          <t>13:30:00</t>
        </is>
      </c>
      <c r="F4" t="inlineStr">
        <is>
          <t>18:00:00</t>
        </is>
      </c>
      <c r="G4" t="inlineStr">
        <is>
          <t>Quincenal</t>
        </is>
      </c>
      <c r="H4" t="inlineStr">
        <is>
          <t>NO</t>
        </is>
      </c>
      <c r="I4" t="inlineStr">
        <is>
          <t>lunes a viernes</t>
        </is>
      </c>
      <c r="J4" t="inlineStr">
        <is>
          <t>Metalurgica</t>
        </is>
      </c>
      <c r="K4" t="inlineStr">
        <is>
          <t>9</t>
        </is>
      </c>
    </row>
    <row r="5">
      <c r="A5" t="n">
        <v>51</v>
      </c>
      <c r="B5" t="inlineStr">
        <is>
          <t>Quignard Fernando</t>
        </is>
      </c>
      <c r="C5" t="inlineStr">
        <is>
          <t>06:30:00</t>
        </is>
      </c>
      <c r="D5" t="inlineStr">
        <is>
          <t>12:00:00</t>
        </is>
      </c>
      <c r="E5" t="inlineStr">
        <is>
          <t>13:30:00</t>
        </is>
      </c>
      <c r="F5" t="inlineStr">
        <is>
          <t>18:00:00</t>
        </is>
      </c>
      <c r="G5" t="inlineStr">
        <is>
          <t>Quincenal</t>
        </is>
      </c>
      <c r="H5" t="inlineStr">
        <is>
          <t>NO</t>
        </is>
      </c>
      <c r="I5" t="inlineStr">
        <is>
          <t>lunes a viernes</t>
        </is>
      </c>
      <c r="J5" t="inlineStr">
        <is>
          <t>Metalurgica</t>
        </is>
      </c>
      <c r="K5" t="inlineStr">
        <is>
          <t>9</t>
        </is>
      </c>
    </row>
    <row r="6">
      <c r="A6" t="n">
        <v>52</v>
      </c>
      <c r="B6" t="inlineStr">
        <is>
          <t>Mario Butto</t>
        </is>
      </c>
      <c r="C6" t="inlineStr">
        <is>
          <t>06:30:00</t>
        </is>
      </c>
      <c r="D6" t="inlineStr">
        <is>
          <t>12:00:00</t>
        </is>
      </c>
      <c r="E6" t="inlineStr">
        <is>
          <t>13:30:00</t>
        </is>
      </c>
      <c r="F6" t="inlineStr">
        <is>
          <t>18:00:00</t>
        </is>
      </c>
      <c r="G6" t="inlineStr">
        <is>
          <t>Quincenal</t>
        </is>
      </c>
      <c r="H6" t="inlineStr">
        <is>
          <t>NO</t>
        </is>
      </c>
      <c r="I6" t="inlineStr">
        <is>
          <t>lunes a viernes</t>
        </is>
      </c>
      <c r="J6" t="inlineStr">
        <is>
          <t>Metalurgica</t>
        </is>
      </c>
      <c r="K6" t="inlineStr">
        <is>
          <t>9</t>
        </is>
      </c>
    </row>
    <row r="7">
      <c r="A7" t="n">
        <v>67</v>
      </c>
      <c r="B7" t="inlineStr">
        <is>
          <t>Madera Adrián</t>
        </is>
      </c>
      <c r="C7" t="inlineStr">
        <is>
          <t>06:30:00</t>
        </is>
      </c>
      <c r="D7" t="inlineStr">
        <is>
          <t>12:00:00</t>
        </is>
      </c>
      <c r="E7" t="inlineStr">
        <is>
          <t>13:30:00</t>
        </is>
      </c>
      <c r="F7" t="inlineStr">
        <is>
          <t>18:00:00</t>
        </is>
      </c>
      <c r="G7" t="inlineStr">
        <is>
          <t>Quincenal</t>
        </is>
      </c>
      <c r="H7" t="inlineStr">
        <is>
          <t>NO</t>
        </is>
      </c>
      <c r="I7" t="inlineStr">
        <is>
          <t>lunes a viernes</t>
        </is>
      </c>
      <c r="J7" t="inlineStr">
        <is>
          <t>Metalurgica</t>
        </is>
      </c>
      <c r="K7" t="inlineStr">
        <is>
          <t>9</t>
        </is>
      </c>
    </row>
    <row r="8">
      <c r="A8" t="n">
        <v>79</v>
      </c>
      <c r="B8" t="inlineStr">
        <is>
          <t>Zarate Olivera Luis</t>
        </is>
      </c>
      <c r="C8" t="inlineStr">
        <is>
          <t>07:30:00</t>
        </is>
      </c>
      <c r="D8" t="inlineStr">
        <is>
          <t>12:00:00</t>
        </is>
      </c>
      <c r="E8" t="inlineStr">
        <is>
          <t>13:30:00</t>
        </is>
      </c>
      <c r="F8" t="inlineStr">
        <is>
          <t>18:00:00</t>
        </is>
      </c>
      <c r="G8" t="inlineStr">
        <is>
          <t>Quincenal</t>
        </is>
      </c>
      <c r="H8" t="inlineStr">
        <is>
          <t>NO</t>
        </is>
      </c>
      <c r="I8" t="inlineStr">
        <is>
          <t>lunes a viernes</t>
        </is>
      </c>
      <c r="J8" t="inlineStr">
        <is>
          <t>Taller</t>
        </is>
      </c>
      <c r="K8" t="inlineStr">
        <is>
          <t>9</t>
        </is>
      </c>
    </row>
    <row r="9">
      <c r="A9" t="n">
        <v>82</v>
      </c>
      <c r="B9" t="inlineStr">
        <is>
          <t>Godoy Denis</t>
        </is>
      </c>
      <c r="C9" t="inlineStr">
        <is>
          <t>06:30:00</t>
        </is>
      </c>
      <c r="D9" t="inlineStr">
        <is>
          <t>12:00:00</t>
        </is>
      </c>
      <c r="E9" t="inlineStr">
        <is>
          <t>13:30:00</t>
        </is>
      </c>
      <c r="F9" t="inlineStr">
        <is>
          <t>18:00:00</t>
        </is>
      </c>
      <c r="G9" t="inlineStr">
        <is>
          <t>Quincenal</t>
        </is>
      </c>
      <c r="H9" t="inlineStr">
        <is>
          <t>NO</t>
        </is>
      </c>
      <c r="I9" t="inlineStr">
        <is>
          <t>lunes a viernes</t>
        </is>
      </c>
      <c r="J9" t="inlineStr">
        <is>
          <t>Metalurgica</t>
        </is>
      </c>
      <c r="K9" t="inlineStr">
        <is>
          <t>9</t>
        </is>
      </c>
    </row>
    <row r="10">
      <c r="A10" t="n">
        <v>83</v>
      </c>
      <c r="B10" t="inlineStr">
        <is>
          <t>Zurvera Mirna</t>
        </is>
      </c>
      <c r="C10" t="inlineStr">
        <is>
          <t>07:00:00</t>
        </is>
      </c>
      <c r="F10" t="inlineStr">
        <is>
          <t>14:00:00</t>
        </is>
      </c>
      <c r="G10" t="inlineStr">
        <is>
          <t>Mensual</t>
        </is>
      </c>
      <c r="H10" t="inlineStr">
        <is>
          <t>SI</t>
        </is>
      </c>
      <c r="I10" t="inlineStr">
        <is>
          <t>lunes a viernes</t>
        </is>
      </c>
      <c r="J10" t="inlineStr">
        <is>
          <t>Administracion</t>
        </is>
      </c>
      <c r="K10" t="inlineStr">
        <is>
          <t>7</t>
        </is>
      </c>
    </row>
    <row r="11">
      <c r="A11" t="n">
        <v>93</v>
      </c>
      <c r="B11" t="inlineStr">
        <is>
          <t>Suarez Elina</t>
        </is>
      </c>
      <c r="C11" t="inlineStr">
        <is>
          <t>07:00:00</t>
        </is>
      </c>
      <c r="F11" t="inlineStr">
        <is>
          <t>13:00:00</t>
        </is>
      </c>
      <c r="H11" t="inlineStr">
        <is>
          <t>SI</t>
        </is>
      </c>
      <c r="I11" t="inlineStr">
        <is>
          <t>lunes a viernes</t>
        </is>
      </c>
      <c r="J11" t="inlineStr">
        <is>
          <t>Administracion</t>
        </is>
      </c>
      <c r="K11" t="inlineStr">
        <is>
          <t>6</t>
        </is>
      </c>
    </row>
    <row r="12">
      <c r="A12" t="n">
        <v>94</v>
      </c>
      <c r="B12" t="inlineStr">
        <is>
          <t>Cordoba Gustavo</t>
        </is>
      </c>
      <c r="C12" t="inlineStr">
        <is>
          <t>07:30:00</t>
        </is>
      </c>
      <c r="D12" t="inlineStr">
        <is>
          <t>12:00:00</t>
        </is>
      </c>
      <c r="E12" t="inlineStr">
        <is>
          <t>13:30:00</t>
        </is>
      </c>
      <c r="F12" t="inlineStr">
        <is>
          <t>18:00:00</t>
        </is>
      </c>
      <c r="H12" t="inlineStr">
        <is>
          <t>NO</t>
        </is>
      </c>
      <c r="I12" t="inlineStr">
        <is>
          <t>lunes a viernes</t>
        </is>
      </c>
      <c r="J12" t="inlineStr">
        <is>
          <t>Administracion</t>
        </is>
      </c>
      <c r="K12" t="inlineStr">
        <is>
          <t>9</t>
        </is>
      </c>
    </row>
    <row r="13">
      <c r="A13" t="n">
        <v>96</v>
      </c>
      <c r="B13" t="inlineStr">
        <is>
          <t>Stieven Emiliano</t>
        </is>
      </c>
      <c r="C13" t="inlineStr">
        <is>
          <t>07:30:00</t>
        </is>
      </c>
      <c r="D13" t="inlineStr">
        <is>
          <t>12:00:00</t>
        </is>
      </c>
      <c r="E13" t="inlineStr">
        <is>
          <t>13:30:00</t>
        </is>
      </c>
      <c r="F13" t="inlineStr">
        <is>
          <t>18:00:00</t>
        </is>
      </c>
      <c r="G13" t="inlineStr">
        <is>
          <t>Quincenal</t>
        </is>
      </c>
      <c r="H13" t="inlineStr">
        <is>
          <t>NO</t>
        </is>
      </c>
      <c r="I13" t="inlineStr">
        <is>
          <t>lunes a viernes</t>
        </is>
      </c>
      <c r="J13" t="inlineStr">
        <is>
          <t>Taller</t>
        </is>
      </c>
      <c r="K13" t="inlineStr">
        <is>
          <t>9</t>
        </is>
      </c>
    </row>
    <row r="14">
      <c r="A14" t="n">
        <v>97</v>
      </c>
      <c r="B14" t="inlineStr">
        <is>
          <t>Gomez Pablo</t>
        </is>
      </c>
      <c r="C14" t="inlineStr">
        <is>
          <t>07:30:00</t>
        </is>
      </c>
      <c r="D14" t="inlineStr">
        <is>
          <t>12:00:00</t>
        </is>
      </c>
      <c r="E14" t="inlineStr">
        <is>
          <t>13:30:00</t>
        </is>
      </c>
      <c r="F14" t="inlineStr">
        <is>
          <t>18:00:00</t>
        </is>
      </c>
      <c r="G14" t="inlineStr">
        <is>
          <t>Quincenal</t>
        </is>
      </c>
      <c r="H14" t="inlineStr">
        <is>
          <t>NO</t>
        </is>
      </c>
      <c r="I14" t="inlineStr">
        <is>
          <t>lunes a viernes</t>
        </is>
      </c>
      <c r="J14" t="inlineStr">
        <is>
          <t>Taller</t>
        </is>
      </c>
      <c r="K14" t="inlineStr">
        <is>
          <t>9</t>
        </is>
      </c>
    </row>
    <row r="15">
      <c r="A15" t="n">
        <v>99</v>
      </c>
      <c r="B15" t="inlineStr">
        <is>
          <t>Fernandez Lara</t>
        </is>
      </c>
      <c r="C15" t="inlineStr">
        <is>
          <t>07:00:00</t>
        </is>
      </c>
      <c r="F15" t="inlineStr">
        <is>
          <t>14:00:00</t>
        </is>
      </c>
      <c r="H15" t="inlineStr">
        <is>
          <t>SI</t>
        </is>
      </c>
      <c r="I15" t="inlineStr">
        <is>
          <t>lunes a viernes</t>
        </is>
      </c>
      <c r="J15" t="inlineStr">
        <is>
          <t>Administracion</t>
        </is>
      </c>
      <c r="K15" t="inlineStr">
        <is>
          <t>7</t>
        </is>
      </c>
    </row>
    <row r="16">
      <c r="A16" t="n">
        <v>100</v>
      </c>
      <c r="B16" t="inlineStr">
        <is>
          <t>Bressan Jorge</t>
        </is>
      </c>
      <c r="C16" t="inlineStr">
        <is>
          <t>07:30:00</t>
        </is>
      </c>
      <c r="D16" t="inlineStr">
        <is>
          <t>12:00:00</t>
        </is>
      </c>
      <c r="E16" t="inlineStr">
        <is>
          <t>13:30:00</t>
        </is>
      </c>
      <c r="F16" t="inlineStr">
        <is>
          <t>18:00:00</t>
        </is>
      </c>
      <c r="G16" t="inlineStr">
        <is>
          <t>Quincenal</t>
        </is>
      </c>
      <c r="H16" t="inlineStr">
        <is>
          <t>NO</t>
        </is>
      </c>
      <c r="I16" t="inlineStr">
        <is>
          <t>lunes a viernes</t>
        </is>
      </c>
      <c r="J16" t="inlineStr">
        <is>
          <t>Taller</t>
        </is>
      </c>
      <c r="K16" t="inlineStr">
        <is>
          <t>9</t>
        </is>
      </c>
    </row>
    <row r="17">
      <c r="A17" t="n">
        <v>101</v>
      </c>
      <c r="B17" t="inlineStr">
        <is>
          <t>Gimenez Joel</t>
        </is>
      </c>
      <c r="C17" t="inlineStr">
        <is>
          <t>06:30:00</t>
        </is>
      </c>
      <c r="D17" t="inlineStr">
        <is>
          <t>12:00:00</t>
        </is>
      </c>
      <c r="E17" t="inlineStr">
        <is>
          <t>13:30:00</t>
        </is>
      </c>
      <c r="F17" t="inlineStr">
        <is>
          <t>18:00:00</t>
        </is>
      </c>
      <c r="G17" t="inlineStr">
        <is>
          <t>Quincenal</t>
        </is>
      </c>
      <c r="H17" t="inlineStr">
        <is>
          <t>NO</t>
        </is>
      </c>
      <c r="I17" t="inlineStr">
        <is>
          <t>lunes a viernes</t>
        </is>
      </c>
      <c r="J17" t="inlineStr">
        <is>
          <t>Metalurgica</t>
        </is>
      </c>
      <c r="K17" t="inlineStr">
        <is>
          <t>9</t>
        </is>
      </c>
    </row>
    <row r="18">
      <c r="A18" t="n">
        <v>105</v>
      </c>
      <c r="B18" t="inlineStr">
        <is>
          <t>Moreno Jose Benjamin</t>
        </is>
      </c>
      <c r="C18" t="inlineStr">
        <is>
          <t>07:30:00</t>
        </is>
      </c>
      <c r="D18" t="inlineStr">
        <is>
          <t>12:00:00</t>
        </is>
      </c>
      <c r="E18" t="inlineStr">
        <is>
          <t>13:30:00</t>
        </is>
      </c>
      <c r="F18" t="inlineStr">
        <is>
          <t>18:00:00</t>
        </is>
      </c>
      <c r="G18" t="inlineStr">
        <is>
          <t>Quincenal</t>
        </is>
      </c>
      <c r="H18" t="inlineStr">
        <is>
          <t>NO</t>
        </is>
      </c>
      <c r="I18" t="inlineStr">
        <is>
          <t>lunes a viernes</t>
        </is>
      </c>
      <c r="J18" t="inlineStr">
        <is>
          <t>Taller</t>
        </is>
      </c>
      <c r="K18" t="inlineStr">
        <is>
          <t>9</t>
        </is>
      </c>
    </row>
    <row r="19">
      <c r="A19" t="n">
        <v>107</v>
      </c>
      <c r="B19" t="inlineStr">
        <is>
          <t>Juarez Paulina</t>
        </is>
      </c>
      <c r="C19" t="inlineStr">
        <is>
          <t>09:00:00</t>
        </is>
      </c>
      <c r="F19" t="inlineStr">
        <is>
          <t>15:00:00</t>
        </is>
      </c>
      <c r="G19" t="inlineStr">
        <is>
          <t>Quincenal</t>
        </is>
      </c>
      <c r="H19" t="inlineStr">
        <is>
          <t>SI</t>
        </is>
      </c>
      <c r="I19" t="inlineStr">
        <is>
          <t>lunes a viernes</t>
        </is>
      </c>
      <c r="J19" t="inlineStr">
        <is>
          <t>Maestranza</t>
        </is>
      </c>
    </row>
    <row r="20">
      <c r="A20" t="n">
        <v>108</v>
      </c>
      <c r="B20" t="inlineStr">
        <is>
          <t>Bruno Daniel</t>
        </is>
      </c>
      <c r="C20" t="inlineStr">
        <is>
          <t>06:30:00</t>
        </is>
      </c>
      <c r="D20" t="inlineStr">
        <is>
          <t>12:00:00</t>
        </is>
      </c>
      <c r="E20" t="inlineStr">
        <is>
          <t>13:30:00</t>
        </is>
      </c>
      <c r="F20" t="inlineStr">
        <is>
          <t>18:00:00</t>
        </is>
      </c>
      <c r="G20" t="inlineStr">
        <is>
          <t>Quincenal</t>
        </is>
      </c>
      <c r="H20" t="inlineStr">
        <is>
          <t>NO</t>
        </is>
      </c>
      <c r="I20" t="inlineStr">
        <is>
          <t>lunes a viernes</t>
        </is>
      </c>
      <c r="J20" t="inlineStr">
        <is>
          <t>Metalurgica</t>
        </is>
      </c>
      <c r="K20" t="inlineStr">
        <is>
          <t>9</t>
        </is>
      </c>
    </row>
    <row r="21">
      <c r="A21" t="n">
        <v>109</v>
      </c>
      <c r="B21" t="inlineStr">
        <is>
          <t>Acosta Renzo</t>
        </is>
      </c>
      <c r="C21" t="inlineStr">
        <is>
          <t>06:30:00</t>
        </is>
      </c>
      <c r="D21" t="inlineStr">
        <is>
          <t>12:00:00</t>
        </is>
      </c>
      <c r="E21" t="inlineStr">
        <is>
          <t>13:30:00</t>
        </is>
      </c>
      <c r="F21" t="inlineStr">
        <is>
          <t>18:00:00</t>
        </is>
      </c>
      <c r="G21" t="inlineStr">
        <is>
          <t>Quincenal</t>
        </is>
      </c>
      <c r="H21" t="inlineStr">
        <is>
          <t>NO</t>
        </is>
      </c>
      <c r="I21" t="inlineStr">
        <is>
          <t>lunes a viernes</t>
        </is>
      </c>
      <c r="J21" t="inlineStr">
        <is>
          <t>Metalurgica</t>
        </is>
      </c>
      <c r="K21" t="inlineStr">
        <is>
          <t>9</t>
        </is>
      </c>
    </row>
    <row r="22">
      <c r="A22" t="n">
        <v>111</v>
      </c>
      <c r="B22" t="inlineStr">
        <is>
          <t>Borgognoni Tomas</t>
        </is>
      </c>
      <c r="C22" t="inlineStr">
        <is>
          <t>07:30:00</t>
        </is>
      </c>
      <c r="D22" t="inlineStr">
        <is>
          <t>12:00:00</t>
        </is>
      </c>
      <c r="E22" t="inlineStr">
        <is>
          <t>13:30:00</t>
        </is>
      </c>
      <c r="F22" t="inlineStr">
        <is>
          <t>18:00:00</t>
        </is>
      </c>
      <c r="G22" t="inlineStr">
        <is>
          <t>Quincenal</t>
        </is>
      </c>
      <c r="H22" t="inlineStr">
        <is>
          <t>NO</t>
        </is>
      </c>
      <c r="I22" t="inlineStr">
        <is>
          <t>lunes a viernes</t>
        </is>
      </c>
      <c r="J22" t="inlineStr">
        <is>
          <t>Taller</t>
        </is>
      </c>
      <c r="K22" t="inlineStr">
        <is>
          <t>9</t>
        </is>
      </c>
    </row>
    <row r="23">
      <c r="A23" t="n">
        <v>113</v>
      </c>
      <c r="B23" t="inlineStr">
        <is>
          <t>Pelliza Roque</t>
        </is>
      </c>
      <c r="C23" t="inlineStr">
        <is>
          <t>07:30:00</t>
        </is>
      </c>
      <c r="D23" t="inlineStr">
        <is>
          <t>12:00:00</t>
        </is>
      </c>
      <c r="E23" t="inlineStr">
        <is>
          <t>13:30:00</t>
        </is>
      </c>
      <c r="F23" t="inlineStr">
        <is>
          <t>18:00:00</t>
        </is>
      </c>
      <c r="G23" t="inlineStr">
        <is>
          <t>Quincenal</t>
        </is>
      </c>
      <c r="H23" t="inlineStr">
        <is>
          <t>NO</t>
        </is>
      </c>
      <c r="I23" t="inlineStr">
        <is>
          <t>lunes a viernes</t>
        </is>
      </c>
      <c r="J23" t="inlineStr">
        <is>
          <t>Maestranza</t>
        </is>
      </c>
      <c r="K23" t="inlineStr">
        <is>
          <t>9</t>
        </is>
      </c>
    </row>
    <row r="24">
      <c r="A24" t="n">
        <v>117</v>
      </c>
      <c r="B24" t="inlineStr">
        <is>
          <t>Mansilla Luis Gabriel</t>
        </is>
      </c>
      <c r="C24" t="inlineStr">
        <is>
          <t>06:30:00</t>
        </is>
      </c>
      <c r="D24" t="inlineStr">
        <is>
          <t>12:00:00</t>
        </is>
      </c>
      <c r="E24" t="inlineStr">
        <is>
          <t>13:30:00</t>
        </is>
      </c>
      <c r="F24" t="inlineStr">
        <is>
          <t>18:00:00</t>
        </is>
      </c>
      <c r="G24" t="inlineStr">
        <is>
          <t>Quincenal</t>
        </is>
      </c>
      <c r="H24" t="inlineStr">
        <is>
          <t>NO</t>
        </is>
      </c>
      <c r="I24" t="inlineStr">
        <is>
          <t>lunes a viernes</t>
        </is>
      </c>
      <c r="J24" t="inlineStr">
        <is>
          <t>Metalurgica</t>
        </is>
      </c>
      <c r="K24" t="inlineStr">
        <is>
          <t>9</t>
        </is>
      </c>
    </row>
    <row r="25">
      <c r="A25" t="n">
        <v>118</v>
      </c>
      <c r="B25" t="inlineStr">
        <is>
          <t>Zeller Lucas Ezequiel</t>
        </is>
      </c>
      <c r="C25" t="inlineStr">
        <is>
          <t>07:30:00</t>
        </is>
      </c>
      <c r="D25" t="inlineStr">
        <is>
          <t>12:00:00</t>
        </is>
      </c>
      <c r="G25" t="inlineStr">
        <is>
          <t>Mensual</t>
        </is>
      </c>
      <c r="H25" t="inlineStr">
        <is>
          <t>SI</t>
        </is>
      </c>
      <c r="I25" t="inlineStr">
        <is>
          <t>lunes, miércoles y viernes</t>
        </is>
      </c>
      <c r="J25" t="inlineStr">
        <is>
          <t>Administracion</t>
        </is>
      </c>
      <c r="K25" t="inlineStr">
        <is>
          <t>4.5</t>
        </is>
      </c>
    </row>
    <row r="26">
      <c r="A26" t="n">
        <v>119</v>
      </c>
      <c r="B26" t="inlineStr">
        <is>
          <t>Lencina Rocio Pilar</t>
        </is>
      </c>
      <c r="C26" t="inlineStr">
        <is>
          <t>09:00:00</t>
        </is>
      </c>
      <c r="F26" t="inlineStr">
        <is>
          <t>17:00:00</t>
        </is>
      </c>
      <c r="G26" t="inlineStr">
        <is>
          <t>Mensual</t>
        </is>
      </c>
      <c r="H26" t="inlineStr">
        <is>
          <t>SI</t>
        </is>
      </c>
      <c r="I26" t="inlineStr">
        <is>
          <t>lunes a viernes</t>
        </is>
      </c>
      <c r="J26" t="inlineStr">
        <is>
          <t>Administracion</t>
        </is>
      </c>
      <c r="K26" t="inlineStr">
        <is>
          <t>8</t>
        </is>
      </c>
    </row>
    <row r="27">
      <c r="A27" t="n">
        <v>122</v>
      </c>
      <c r="B27" t="inlineStr">
        <is>
          <t>Perez Jonathan Joel</t>
        </is>
      </c>
      <c r="C27" t="inlineStr">
        <is>
          <t>08:00:00</t>
        </is>
      </c>
      <c r="D27" t="inlineStr">
        <is>
          <t>12:00:00</t>
        </is>
      </c>
      <c r="G27" t="inlineStr">
        <is>
          <t>Quincenal</t>
        </is>
      </c>
      <c r="H27" t="inlineStr">
        <is>
          <t>NO</t>
        </is>
      </c>
      <c r="I27" t="inlineStr">
        <is>
          <t>lunes a viernes</t>
        </is>
      </c>
      <c r="J27" t="inlineStr">
        <is>
          <t>Pasante</t>
        </is>
      </c>
      <c r="K27" t="inlineStr">
        <is>
          <t>4</t>
        </is>
      </c>
    </row>
    <row r="28">
      <c r="A28" t="n">
        <v>123</v>
      </c>
      <c r="B28" t="inlineStr">
        <is>
          <t>Paz Walter Fernando</t>
        </is>
      </c>
      <c r="C28" t="inlineStr">
        <is>
          <t>06:30:00</t>
        </is>
      </c>
      <c r="D28" t="inlineStr">
        <is>
          <t>12:00:00</t>
        </is>
      </c>
      <c r="E28" t="inlineStr">
        <is>
          <t>13:30:00</t>
        </is>
      </c>
      <c r="F28" t="inlineStr">
        <is>
          <t>18:00:00</t>
        </is>
      </c>
      <c r="G28" t="inlineStr">
        <is>
          <t>Quincenal</t>
        </is>
      </c>
      <c r="H28" t="inlineStr">
        <is>
          <t>NO</t>
        </is>
      </c>
      <c r="I28" t="inlineStr">
        <is>
          <t>lunes a viernes</t>
        </is>
      </c>
      <c r="J28" t="inlineStr">
        <is>
          <t>Metalurgica</t>
        </is>
      </c>
      <c r="K28" t="inlineStr">
        <is>
          <t>9</t>
        </is>
      </c>
    </row>
    <row r="29">
      <c r="A29" t="n">
        <v>124</v>
      </c>
      <c r="B29" t="inlineStr">
        <is>
          <t>Serrano Ramirez Eduardo Ismael</t>
        </is>
      </c>
      <c r="C29" t="inlineStr">
        <is>
          <t>07:30:00</t>
        </is>
      </c>
      <c r="D29" t="inlineStr">
        <is>
          <t>12:00:00</t>
        </is>
      </c>
      <c r="E29" t="inlineStr">
        <is>
          <t>13:30:00</t>
        </is>
      </c>
      <c r="F29" t="inlineStr">
        <is>
          <t>18:00:00</t>
        </is>
      </c>
      <c r="G29" t="inlineStr">
        <is>
          <t>Mensual</t>
        </is>
      </c>
      <c r="H29" t="inlineStr">
        <is>
          <t>NO</t>
        </is>
      </c>
      <c r="I29" t="inlineStr">
        <is>
          <t>lunes a viernes</t>
        </is>
      </c>
      <c r="J29" t="inlineStr">
        <is>
          <t>Taller</t>
        </is>
      </c>
      <c r="K29" t="inlineStr">
        <is>
          <t>9</t>
        </is>
      </c>
    </row>
    <row r="30">
      <c r="A30" t="n">
        <v>125</v>
      </c>
      <c r="B30" t="inlineStr">
        <is>
          <t>Barotto Emmanuel Gonzalo</t>
        </is>
      </c>
      <c r="C30" t="inlineStr">
        <is>
          <t>06:30:00</t>
        </is>
      </c>
      <c r="D30" t="inlineStr">
        <is>
          <t>12:00:00</t>
        </is>
      </c>
      <c r="E30" t="inlineStr">
        <is>
          <t>13:30:00</t>
        </is>
      </c>
      <c r="F30" t="inlineStr">
        <is>
          <t>18:00:00</t>
        </is>
      </c>
      <c r="G30" t="inlineStr">
        <is>
          <t>Quincenal</t>
        </is>
      </c>
      <c r="H30" t="inlineStr">
        <is>
          <t>NO</t>
        </is>
      </c>
      <c r="I30" t="inlineStr">
        <is>
          <t>lunes a viernes</t>
        </is>
      </c>
      <c r="J30" t="inlineStr">
        <is>
          <t>Metalurgica</t>
        </is>
      </c>
      <c r="K30" t="inlineStr">
        <is>
          <t>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7"/>
  <sheetViews>
    <sheetView tabSelected="1" topLeftCell="A13" workbookViewId="0">
      <selection activeCell="I24" sqref="I24"/>
    </sheetView>
  </sheetViews>
  <sheetFormatPr baseColWidth="10" defaultColWidth="8.85546875" defaultRowHeight="15"/>
  <cols>
    <col width="12" customWidth="1" min="1" max="1"/>
    <col width="28" customWidth="1" min="2" max="2"/>
    <col width="22" customWidth="1" min="3" max="3"/>
    <col width="24" customWidth="1" min="4" max="4"/>
    <col width="22" customWidth="1" min="5" max="5"/>
    <col width="15" customWidth="1" min="6" max="9"/>
    <col width="35" customWidth="1" min="10" max="10"/>
    <col width="28" customWidth="1" min="11" max="11"/>
  </cols>
  <sheetData>
    <row r="1">
      <c r="A1" s="10" t="inlineStr">
        <is>
          <t>Legajo</t>
        </is>
      </c>
      <c r="B1" s="10" t="inlineStr">
        <is>
          <t>Nombre (auto)</t>
        </is>
      </c>
      <c r="C1" s="10" t="inlineStr">
        <is>
          <t>Grupo (auto)</t>
        </is>
      </c>
      <c r="D1" s="10" t="inlineStr">
        <is>
          <t>Días laborales (auto)</t>
        </is>
      </c>
      <c r="E1" s="10" t="inlineStr">
        <is>
          <t>Tipo ausencia</t>
        </is>
      </c>
      <c r="F1" s="10" t="inlineStr">
        <is>
          <t>Fecha desde</t>
        </is>
      </c>
      <c r="G1" s="10" t="inlineStr">
        <is>
          <t>Fecha hasta</t>
        </is>
      </c>
      <c r="H1" s="10" t="inlineStr">
        <is>
          <t>Días corridos</t>
        </is>
      </c>
      <c r="I1" s="10" t="inlineStr">
        <is>
          <t>Estado</t>
        </is>
      </c>
      <c r="J1" s="10" t="inlineStr">
        <is>
          <t>Observación</t>
        </is>
      </c>
      <c r="K1" s="10" t="inlineStr">
        <is>
          <t>Clave control</t>
        </is>
      </c>
    </row>
    <row r="2">
      <c r="A2" s="7" t="n">
        <v>1</v>
      </c>
      <c r="B2" s="7">
        <f>IF(A2="","",IFERROR(VLOOKUP(A2,Empleados!A:B,2,FALSE),""))</f>
        <v/>
      </c>
      <c r="C2" s="7">
        <f>IF(A2="","",IFERROR(VLOOKUP(A2,Empleados!A:J,9,FALSE),""))</f>
        <v/>
      </c>
      <c r="D2" s="7">
        <f>IF(A2="","",IFERROR(VLOOKUP(A2,Empleados!A:I,8,FALSE),""))</f>
        <v/>
      </c>
      <c r="E2" s="7" t="inlineStr">
        <is>
          <t>FERIADO</t>
        </is>
      </c>
      <c r="F2" s="8" t="n">
        <v>46143</v>
      </c>
      <c r="G2" s="8" t="n">
        <v>46143</v>
      </c>
      <c r="H2" s="9">
        <f>IF(OR(F2="",G2=""),"",G2-F2+1)</f>
        <v/>
      </c>
      <c r="I2" s="7" t="inlineStr">
        <is>
          <t>APROBADO</t>
        </is>
      </c>
      <c r="J2" s="7" t="n"/>
      <c r="K2" s="7">
        <f>IF(A2="","",A2&amp;"|"&amp;TEXT(F2,"yyyymmdd")&amp;"|"&amp;TEXT(G2,"yyyymmdd"))</f>
        <v/>
      </c>
    </row>
    <row r="3" ht="30.75" customHeight="1">
      <c r="A3" s="7" t="n">
        <v>82</v>
      </c>
      <c r="B3" s="7">
        <f>IF(A3="","",IFERROR(VLOOKUP(A3,Empleados!A:B,2,FALSE),""))</f>
        <v/>
      </c>
      <c r="C3" s="7">
        <f>IF(A3="","",IFERROR(VLOOKUP(A3,Empleados!A:J,9,FALSE),""))</f>
        <v/>
      </c>
      <c r="D3" s="7">
        <f>IF(A3="","",IFERROR(VLOOKUP(A3,Empleados!A:I,8,FALSE),""))</f>
        <v/>
      </c>
      <c r="E3" s="7" t="inlineStr">
        <is>
          <t>ACCIDENTE DE TRABAJO</t>
        </is>
      </c>
      <c r="F3" s="8" t="n">
        <v>46146</v>
      </c>
      <c r="G3" s="8" t="n">
        <v>46387</v>
      </c>
      <c r="H3" s="9">
        <f>IF(OR(F3="",G3=""),"",G3-F3+1)</f>
        <v/>
      </c>
      <c r="I3" s="7" t="inlineStr">
        <is>
          <t>APROBADO</t>
        </is>
      </c>
      <c r="J3" s="7" t="n"/>
      <c r="K3" s="7">
        <f>IF(A3="","",A3&amp;"|"&amp;TEXT(F3,"yyyymmdd")&amp;"|"&amp;TEXT(G3,"yyyymmdd"))</f>
        <v/>
      </c>
    </row>
    <row r="4" ht="13.5" customHeight="1">
      <c r="A4" s="7" t="n">
        <v>52</v>
      </c>
      <c r="B4" s="7">
        <f>IF(A4="","",IFERROR(VLOOKUP(A4,Empleados!A:B,2,FALSE),""))</f>
        <v/>
      </c>
      <c r="C4" s="7">
        <f>IF(A4="","",IFERROR(VLOOKUP(A4,Empleados!A:J,9,FALSE),""))</f>
        <v/>
      </c>
      <c r="D4" s="7">
        <f>IF(A4="","",IFERROR(VLOOKUP(A4,Empleados!A:I,8,FALSE),""))</f>
        <v/>
      </c>
      <c r="E4" s="7" t="inlineStr">
        <is>
          <t>ACCIDENTE DE TRABAJO</t>
        </is>
      </c>
      <c r="F4" s="8" t="n">
        <v>46146</v>
      </c>
      <c r="G4" s="8" t="n">
        <v>46387</v>
      </c>
      <c r="H4" s="9">
        <f>IF(OR(F4="",G4=""),"",G4-F4+1)</f>
        <v/>
      </c>
      <c r="I4" s="7" t="inlineStr">
        <is>
          <t>APROBADO</t>
        </is>
      </c>
      <c r="J4" s="7" t="n"/>
      <c r="K4" s="7">
        <f>IF(A4="","",A4&amp;"|"&amp;TEXT(F4,"yyyymmdd")&amp;"|"&amp;TEXT(G4,"yyyymmdd"))</f>
        <v/>
      </c>
    </row>
    <row r="5">
      <c r="A5" s="7" t="n">
        <v>1</v>
      </c>
      <c r="B5" s="7">
        <f>IF(A5="","",IFERROR(VLOOKUP(A5,Empleados!A:B,2,FALSE),""))</f>
        <v/>
      </c>
      <c r="C5" s="7">
        <f>IF(A5="","",IFERROR(VLOOKUP(A5,Empleados!A:J,9,FALSE),""))</f>
        <v/>
      </c>
      <c r="D5" s="7">
        <f>IF(A5="","",IFERROR(VLOOKUP(A5,Empleados!A:I,8,FALSE),""))</f>
        <v/>
      </c>
      <c r="E5" s="7" t="inlineStr">
        <is>
          <t>FERIADO</t>
        </is>
      </c>
      <c r="F5" s="8" t="n">
        <v>46167</v>
      </c>
      <c r="G5" s="8" t="n">
        <v>46167</v>
      </c>
      <c r="H5" s="9">
        <f>IF(OR(F5="",G5=""),"",G5-F5+1)</f>
        <v/>
      </c>
      <c r="I5" s="7" t="inlineStr">
        <is>
          <t>APROBADO</t>
        </is>
      </c>
      <c r="J5" s="7" t="n"/>
      <c r="K5" s="7">
        <f>IF(A5="","",A5&amp;"|"&amp;TEXT(F5,"yyyymmdd")&amp;"|"&amp;TEXT(G5,"yyyymmdd"))</f>
        <v/>
      </c>
    </row>
    <row r="6">
      <c r="A6" s="7" t="n">
        <v>93</v>
      </c>
      <c r="B6" s="7">
        <f>IF(A6="","",IFERROR(VLOOKUP(A6,Empleados!A:B,2,FALSE),""))</f>
        <v/>
      </c>
      <c r="C6" s="7">
        <f>IF(A6="","",IFERROR(VLOOKUP(A6,Empleados!A:J,9,FALSE),""))</f>
        <v/>
      </c>
      <c r="D6" s="7">
        <f>IF(A6="","",IFERROR(VLOOKUP(A6,Empleados!A:I,8,FALSE),""))</f>
        <v/>
      </c>
      <c r="E6" s="7" t="inlineStr">
        <is>
          <t>PRESENTE</t>
        </is>
      </c>
      <c r="F6" s="8" t="n">
        <v>46149</v>
      </c>
      <c r="G6" s="8" t="n">
        <v>46156</v>
      </c>
      <c r="H6" s="9">
        <f>IF(OR(F6="",G6=""),"",G6-F6+1)</f>
        <v/>
      </c>
      <c r="I6" s="7" t="inlineStr">
        <is>
          <t>APROBADO</t>
        </is>
      </c>
      <c r="J6" s="7" t="n"/>
      <c r="K6" s="7">
        <f>IF(A6="","",A6&amp;"|"&amp;TEXT(F6,"yyyymmdd")&amp;"|"&amp;TEXT(G6,"yyyymmdd"))</f>
        <v/>
      </c>
    </row>
    <row r="7">
      <c r="A7" s="7" t="n">
        <v>96</v>
      </c>
      <c r="B7" s="7">
        <f>IF(A7="","",IFERROR(VLOOKUP(A7,Empleados!A:B,2,FALSE),""))</f>
        <v/>
      </c>
      <c r="C7" s="7">
        <f>IF(A7="","",IFERROR(VLOOKUP(A7,Empleados!A:J,9,FALSE),""))</f>
        <v/>
      </c>
      <c r="D7" s="7">
        <f>IF(A7="","",IFERROR(VLOOKUP(A7,Empleados!A:I,8,FALSE),""))</f>
        <v/>
      </c>
      <c r="E7" s="7" t="inlineStr">
        <is>
          <t>PRESENTE</t>
        </is>
      </c>
      <c r="F7" s="8" t="n">
        <v>46156</v>
      </c>
      <c r="G7" s="8" t="n">
        <v>46157</v>
      </c>
      <c r="H7" s="9">
        <f>IF(OR(F7="",G7=""),"",G7-F7+1)</f>
        <v/>
      </c>
      <c r="I7" s="7" t="inlineStr">
        <is>
          <t>APROBADO</t>
        </is>
      </c>
      <c r="J7" s="7" t="n"/>
      <c r="K7" s="7">
        <f>IF(A7="","",A7&amp;"|"&amp;TEXT(F7,"yyyymmdd")&amp;"|"&amp;TEXT(G7,"yyyymmdd"))</f>
        <v/>
      </c>
    </row>
    <row r="8">
      <c r="A8" s="7" t="n">
        <v>100</v>
      </c>
      <c r="B8" s="7">
        <f>IF(A8="","",IFERROR(VLOOKUP(A8,Empleados!A:B,2,FALSE),""))</f>
        <v/>
      </c>
      <c r="C8" s="7">
        <f>IF(A8="","",IFERROR(VLOOKUP(A8,Empleados!A:J,9,FALSE),""))</f>
        <v/>
      </c>
      <c r="D8" s="7">
        <f>IF(A8="","",IFERROR(VLOOKUP(A8,Empleados!A:I,8,FALSE),""))</f>
        <v/>
      </c>
      <c r="E8" s="7" t="inlineStr">
        <is>
          <t>PRESENTE</t>
        </is>
      </c>
      <c r="F8" s="8" t="n">
        <v>46154</v>
      </c>
      <c r="G8" s="8" t="n">
        <v>46155</v>
      </c>
      <c r="H8" s="9">
        <f>IF(OR(F8="",G8=""),"",G8-F8+1)</f>
        <v/>
      </c>
      <c r="I8" s="7" t="inlineStr">
        <is>
          <t>APROBADO</t>
        </is>
      </c>
      <c r="J8" s="7" t="n"/>
      <c r="K8" s="7">
        <f>IF(A8="","",A8&amp;"|"&amp;TEXT(F8,"yyyymmdd")&amp;"|"&amp;TEXT(G8,"yyyymmdd"))</f>
        <v/>
      </c>
    </row>
    <row r="9">
      <c r="A9" s="7" t="n">
        <v>51</v>
      </c>
      <c r="B9" s="7">
        <f>IF(A9="","",IFERROR(VLOOKUP(A9,Empleados!A:B,2,FALSE),""))</f>
        <v/>
      </c>
      <c r="C9" s="7">
        <f>IF(A9="","",IFERROR(VLOOKUP(A9,Empleados!A:J,9,FALSE),""))</f>
        <v/>
      </c>
      <c r="D9" s="7">
        <f>IF(A9="","",IFERROR(VLOOKUP(A9,Empleados!A:I,8,FALSE),""))</f>
        <v/>
      </c>
      <c r="E9" s="7" t="inlineStr">
        <is>
          <t>AUSENCIA</t>
        </is>
      </c>
      <c r="F9" s="8" t="n">
        <v>46161</v>
      </c>
      <c r="G9" s="8" t="n">
        <v>46161</v>
      </c>
      <c r="H9" s="9">
        <f>IF(OR(F9="",G9=""),"",G9-F9+1)</f>
        <v/>
      </c>
      <c r="I9" s="7" t="inlineStr">
        <is>
          <t>APROBADO</t>
        </is>
      </c>
      <c r="J9" s="7" t="n"/>
      <c r="K9" s="7">
        <f>IF(A9="","",A9&amp;"|"&amp;TEXT(F9,"yyyymmdd")&amp;"|"&amp;TEXT(G9,"yyyymmdd"))</f>
        <v/>
      </c>
    </row>
    <row r="10">
      <c r="A10" s="7" t="n">
        <v>51</v>
      </c>
      <c r="B10" s="7">
        <f>IF(A10="","",IFERROR(VLOOKUP(A10,Empleados!A:B,2,FALSE),""))</f>
        <v/>
      </c>
      <c r="C10" s="7">
        <f>IF(A10="","",IFERROR(VLOOKUP(A10,Empleados!A:J,9,FALSE),""))</f>
        <v/>
      </c>
      <c r="D10" s="7">
        <f>IF(A10="","",IFERROR(VLOOKUP(A10,Empleados!A:I,8,FALSE),""))</f>
        <v/>
      </c>
      <c r="E10" s="7" t="inlineStr">
        <is>
          <t>PRESENTE</t>
        </is>
      </c>
      <c r="F10" s="8" t="n">
        <v>46154</v>
      </c>
      <c r="G10" s="8" t="n">
        <v>46156</v>
      </c>
      <c r="H10" s="9">
        <f>IF(OR(F10="",G10=""),"",G10-F10+1)</f>
        <v/>
      </c>
      <c r="I10" s="7" t="inlineStr">
        <is>
          <t>APROBADO</t>
        </is>
      </c>
      <c r="J10" s="7" t="n"/>
      <c r="K10" s="7">
        <f>IF(A10="","",A10&amp;"|"&amp;TEXT(F10,"yyyymmdd")&amp;"|"&amp;TEXT(G10,"yyyymmdd"))</f>
        <v/>
      </c>
    </row>
    <row r="11">
      <c r="A11" s="7" t="n">
        <v>20</v>
      </c>
      <c r="B11" s="7">
        <f>IF(A11="","",IFERROR(VLOOKUP(A11,Empleados!A:B,2,FALSE),""))</f>
        <v/>
      </c>
      <c r="C11" s="7">
        <f>IF(A11="","",IFERROR(VLOOKUP(A11,Empleados!A:J,9,FALSE),""))</f>
        <v/>
      </c>
      <c r="D11" s="7">
        <f>IF(A11="","",IFERROR(VLOOKUP(A11,Empleados!A:I,8,FALSE),""))</f>
        <v/>
      </c>
      <c r="E11" s="7" t="inlineStr">
        <is>
          <t>VACACIONES</t>
        </is>
      </c>
      <c r="F11" s="8" t="n">
        <v>46164</v>
      </c>
      <c r="G11" s="8" t="n">
        <v>46164</v>
      </c>
      <c r="H11" s="9">
        <f>IF(OR(F11="",G11=""),"",G11-F11+1)</f>
        <v/>
      </c>
      <c r="I11" s="7" t="inlineStr">
        <is>
          <t>APROBADO</t>
        </is>
      </c>
      <c r="J11" s="7" t="n"/>
      <c r="K11" s="7">
        <f>IF(A11="","",A11&amp;"|"&amp;TEXT(F11,"yyyymmdd")&amp;"|"&amp;TEXT(G11,"yyyymmdd"))</f>
        <v/>
      </c>
    </row>
    <row r="12">
      <c r="A12" s="7" t="n">
        <v>20</v>
      </c>
      <c r="B12" s="7">
        <f>IF(A12="","",IFERROR(VLOOKUP(A12,Empleados!A:B,2,FALSE),""))</f>
        <v/>
      </c>
      <c r="C12" s="7">
        <f>IF(A12="","",IFERROR(VLOOKUP(A12,Empleados!A:J,9,FALSE),""))</f>
        <v/>
      </c>
      <c r="D12" s="7">
        <f>IF(A12="","",IFERROR(VLOOKUP(A12,Empleados!A:I,8,FALSE),""))</f>
        <v/>
      </c>
      <c r="E12" s="7" t="inlineStr">
        <is>
          <t>PRESENTE</t>
        </is>
      </c>
      <c r="F12" s="8" t="n">
        <v>46170</v>
      </c>
      <c r="G12" s="8" t="n">
        <v>46170</v>
      </c>
      <c r="H12" s="9">
        <f>IF(OR(F12="",G12=""),"",G12-F12+1)</f>
        <v/>
      </c>
      <c r="I12" s="7" t="inlineStr">
        <is>
          <t>APROBADO</t>
        </is>
      </c>
      <c r="J12" s="7" t="n"/>
      <c r="K12" s="7">
        <f>IF(A12="","",A12&amp;"|"&amp;TEXT(F12,"yyyymmdd")&amp;"|"&amp;TEXT(G12,"yyyymmdd"))</f>
        <v/>
      </c>
    </row>
    <row r="13">
      <c r="A13" s="7" t="n">
        <v>97</v>
      </c>
      <c r="B13" s="7">
        <f>IF(A13="","",IFERROR(VLOOKUP(A13,Empleados!A:B,2,FALSE),""))</f>
        <v/>
      </c>
      <c r="C13" s="7">
        <f>IF(A13="","",IFERROR(VLOOKUP(A13,Empleados!A:J,9,FALSE),""))</f>
        <v/>
      </c>
      <c r="D13" s="7">
        <f>IF(A13="","",IFERROR(VLOOKUP(A13,Empleados!A:I,8,FALSE),""))</f>
        <v/>
      </c>
      <c r="E13" s="7" t="inlineStr">
        <is>
          <t>PRESENTE</t>
        </is>
      </c>
      <c r="F13" s="8" t="n">
        <v>46168</v>
      </c>
      <c r="G13" s="8" t="n">
        <v>46169</v>
      </c>
      <c r="H13" s="9">
        <f>IF(OR(F13="",G13=""),"",G13-F13+1)</f>
        <v/>
      </c>
      <c r="I13" s="7" t="inlineStr">
        <is>
          <t>APROBADO</t>
        </is>
      </c>
      <c r="J13" s="7" t="n"/>
      <c r="K13" s="7">
        <f>IF(A13="","",A13&amp;"|"&amp;TEXT(F13,"yyyymmdd")&amp;"|"&amp;TEXT(G13,"yyyymmdd"))</f>
        <v/>
      </c>
    </row>
    <row r="14">
      <c r="A14" s="7" t="n">
        <v>96</v>
      </c>
      <c r="B14" s="7">
        <f>IF(A14="","",IFERROR(VLOOKUP(A14,Empleados!A:B,2,FALSE),""))</f>
        <v/>
      </c>
      <c r="C14" s="7">
        <f>IF(A14="","",IFERROR(VLOOKUP(A14,Empleados!A:J,9,FALSE),""))</f>
        <v/>
      </c>
      <c r="D14" s="7">
        <f>IF(A14="","",IFERROR(VLOOKUP(A14,Empleados!A:I,8,FALSE),""))</f>
        <v/>
      </c>
      <c r="E14" s="7" t="inlineStr">
        <is>
          <t>PRESENTE</t>
        </is>
      </c>
      <c r="F14" s="8" t="n">
        <v>46168</v>
      </c>
      <c r="G14" s="8" t="n">
        <v>46169</v>
      </c>
      <c r="H14" s="9">
        <f>IF(OR(F14="",G14=""),"",G14-F14+1)</f>
        <v/>
      </c>
      <c r="I14" s="7" t="inlineStr">
        <is>
          <t>APROBADO</t>
        </is>
      </c>
      <c r="J14" s="7" t="n"/>
      <c r="K14" s="7">
        <f>IF(A14="","",A14&amp;"|"&amp;TEXT(F14,"yyyymmdd")&amp;"|"&amp;TEXT(G14,"yyyymmdd"))</f>
        <v/>
      </c>
    </row>
    <row r="15">
      <c r="A15" s="7" t="n">
        <v>100</v>
      </c>
      <c r="B15" s="7">
        <f>IF(A15="","",IFERROR(VLOOKUP(A15,Empleados!A:B,2,FALSE),""))</f>
        <v/>
      </c>
      <c r="C15" s="7">
        <f>IF(A15="","",IFERROR(VLOOKUP(A15,Empleados!A:J,9,FALSE),""))</f>
        <v/>
      </c>
      <c r="D15" s="7">
        <f>IF(A15="","",IFERROR(VLOOKUP(A15,Empleados!A:I,8,FALSE),""))</f>
        <v/>
      </c>
      <c r="E15" s="7" t="inlineStr">
        <is>
          <t>PRESENTE</t>
        </is>
      </c>
      <c r="F15" s="8" t="n">
        <v>46157</v>
      </c>
      <c r="G15" s="8" t="n">
        <v>46157</v>
      </c>
      <c r="H15" s="9">
        <f>IF(OR(F15="",G15=""),"",G15-F15+1)</f>
        <v/>
      </c>
      <c r="I15" s="7" t="inlineStr">
        <is>
          <t>APROBADO</t>
        </is>
      </c>
      <c r="J15" s="7" t="n"/>
      <c r="K15" s="7">
        <f>IF(A15="","",A15&amp;"|"&amp;TEXT(F15,"yyyymmdd")&amp;"|"&amp;TEXT(G15,"yyyymmdd"))</f>
        <v/>
      </c>
    </row>
    <row r="16">
      <c r="A16" s="7" t="n">
        <v>113</v>
      </c>
      <c r="B16" s="7">
        <f>IF(A16="","",IFERROR(VLOOKUP(A16,Empleados!A:B,2,FALSE),""))</f>
        <v/>
      </c>
      <c r="C16" s="7">
        <f>IF(A16="","",IFERROR(VLOOKUP(A16,Empleados!A:J,9,FALSE),""))</f>
        <v/>
      </c>
      <c r="D16" s="7">
        <f>IF(A16="","",IFERROR(VLOOKUP(A16,Empleados!A:I,8,FALSE),""))</f>
        <v/>
      </c>
      <c r="E16" s="7" t="inlineStr">
        <is>
          <t>PRESENTE</t>
        </is>
      </c>
      <c r="F16" s="8" t="n">
        <v>46154</v>
      </c>
      <c r="G16" s="8" t="n">
        <v>46154</v>
      </c>
      <c r="H16" s="9">
        <f>IF(OR(F16="",G16=""),"",G16-F16+1)</f>
        <v/>
      </c>
      <c r="I16" s="7" t="inlineStr">
        <is>
          <t>APROBADO</t>
        </is>
      </c>
      <c r="J16" s="7" t="n"/>
      <c r="K16" s="7">
        <f>IF(A16="","",A16&amp;"|"&amp;TEXT(F16,"yyyymmdd")&amp;"|"&amp;TEXT(G16,"yyyymmdd"))</f>
        <v/>
      </c>
    </row>
    <row r="17">
      <c r="A17" s="7" t="n">
        <v>113</v>
      </c>
      <c r="B17" s="7">
        <f>IF(A17="","",IFERROR(VLOOKUP(A17,Empleados!A:B,2,FALSE),""))</f>
        <v/>
      </c>
      <c r="C17" s="7">
        <f>IF(A17="","",IFERROR(VLOOKUP(A17,Empleados!A:J,9,FALSE),""))</f>
        <v/>
      </c>
      <c r="D17" s="7">
        <f>IF(A17="","",IFERROR(VLOOKUP(A17,Empleados!A:I,8,FALSE),""))</f>
        <v/>
      </c>
      <c r="E17" s="7" t="inlineStr">
        <is>
          <t>PRESENTE</t>
        </is>
      </c>
      <c r="F17" s="8" t="n">
        <v>46157</v>
      </c>
      <c r="G17" s="8" t="n">
        <v>46157</v>
      </c>
      <c r="H17" s="9">
        <f>IF(OR(F17="",G17=""),"",G17-F17+1)</f>
        <v/>
      </c>
      <c r="I17" s="7" t="inlineStr">
        <is>
          <t>APROBADO</t>
        </is>
      </c>
      <c r="J17" s="7" t="n"/>
      <c r="K17" s="7">
        <f>IF(A17="","",A17&amp;"|"&amp;TEXT(F17,"yyyymmdd")&amp;"|"&amp;TEXT(G17,"yyyymmdd"))</f>
        <v/>
      </c>
    </row>
    <row r="18">
      <c r="A18" s="7" t="n">
        <v>113</v>
      </c>
      <c r="B18" s="7">
        <f>IF(A18="","",IFERROR(VLOOKUP(A18,Empleados!A:B,2,FALSE),""))</f>
        <v/>
      </c>
      <c r="C18" s="7">
        <f>IF(A18="","",IFERROR(VLOOKUP(A18,Empleados!A:J,9,FALSE),""))</f>
        <v/>
      </c>
      <c r="D18" s="7">
        <f>IF(A18="","",IFERROR(VLOOKUP(A18,Empleados!A:I,8,FALSE),""))</f>
        <v/>
      </c>
      <c r="E18" s="7" t="inlineStr">
        <is>
          <t>AUSENCIA</t>
        </is>
      </c>
      <c r="F18" s="8" t="n">
        <v>46164</v>
      </c>
      <c r="G18" s="8" t="n">
        <v>46164</v>
      </c>
      <c r="H18" s="9">
        <f>IF(OR(F18="",G18=""),"",G18-F18+1)</f>
        <v/>
      </c>
      <c r="I18" s="7" t="inlineStr">
        <is>
          <t>APROBADO</t>
        </is>
      </c>
      <c r="J18" s="7" t="n"/>
      <c r="K18" s="7">
        <f>IF(A18="","",A18&amp;"|"&amp;TEXT(F18,"yyyymmdd")&amp;"|"&amp;TEXT(G18,"yyyymmdd"))</f>
        <v/>
      </c>
    </row>
    <row r="19">
      <c r="A19" s="7" t="n">
        <v>109</v>
      </c>
      <c r="B19" s="7">
        <f>IF(A19="","",IFERROR(VLOOKUP(A19,Empleados!A:B,2,FALSE),""))</f>
        <v/>
      </c>
      <c r="C19" s="7">
        <f>IF(A19="","",IFERROR(VLOOKUP(A19,Empleados!A:J,9,FALSE),""))</f>
        <v/>
      </c>
      <c r="D19" s="7">
        <f>IF(A19="","",IFERROR(VLOOKUP(A19,Empleados!A:I,8,FALSE),""))</f>
        <v/>
      </c>
      <c r="E19" s="7" t="inlineStr">
        <is>
          <t>PRESENTE</t>
        </is>
      </c>
      <c r="F19" s="8" t="n">
        <v>46169</v>
      </c>
      <c r="G19" s="8" t="n">
        <v>46170</v>
      </c>
      <c r="H19" s="9">
        <f>IF(OR(F19="",G19=""),"",G19-F19+1)</f>
        <v/>
      </c>
      <c r="I19" s="7" t="inlineStr">
        <is>
          <t>APROBADO</t>
        </is>
      </c>
      <c r="J19" s="7" t="n"/>
      <c r="K19" s="7">
        <f>IF(A19="","",A19&amp;"|"&amp;TEXT(F19,"yyyymmdd")&amp;"|"&amp;TEXT(G19,"yyyymmdd"))</f>
        <v/>
      </c>
    </row>
    <row r="20">
      <c r="A20" s="7" t="n">
        <v>83</v>
      </c>
      <c r="B20" s="7">
        <f>IF(A20="","",IFERROR(VLOOKUP(A20,Empleados!A:B,2,FALSE),""))</f>
        <v/>
      </c>
      <c r="C20" s="7">
        <f>IF(A20="","",IFERROR(VLOOKUP(A20,Empleados!A:J,9,FALSE),""))</f>
        <v/>
      </c>
      <c r="D20" s="7">
        <f>IF(A20="","",IFERROR(VLOOKUP(A20,Empleados!A:I,8,FALSE),""))</f>
        <v/>
      </c>
      <c r="E20" s="7" t="inlineStr">
        <is>
          <t>PRESENTE</t>
        </is>
      </c>
      <c r="F20" s="8" t="n">
        <v>46156</v>
      </c>
      <c r="G20" s="8" t="n">
        <v>46156</v>
      </c>
      <c r="H20" s="9">
        <f>IF(OR(F20="",G20=""),"",G20-F20+1)</f>
        <v/>
      </c>
      <c r="I20" s="7" t="inlineStr">
        <is>
          <t>APROBADO</t>
        </is>
      </c>
      <c r="J20" s="7" t="n"/>
      <c r="K20" s="7">
        <f>IF(A20="","",A20&amp;"|"&amp;TEXT(F20,"yyyymmdd")&amp;"|"&amp;TEXT(G20,"yyyymmdd"))</f>
        <v/>
      </c>
    </row>
    <row r="21">
      <c r="A21" s="7" t="n">
        <v>109</v>
      </c>
      <c r="B21" s="7">
        <f>IF(A21="","",IFERROR(VLOOKUP(A21,Empleados!A:B,2,FALSE),""))</f>
        <v/>
      </c>
      <c r="C21" s="7">
        <f>IF(A21="","",IFERROR(VLOOKUP(A21,Empleados!A:J,9,FALSE),""))</f>
        <v/>
      </c>
      <c r="D21" s="7">
        <f>IF(A21="","",IFERROR(VLOOKUP(A21,Empleados!A:I,8,FALSE),""))</f>
        <v/>
      </c>
      <c r="E21" s="7" t="inlineStr">
        <is>
          <t>PRESENTE</t>
        </is>
      </c>
      <c r="F21" s="8" t="n">
        <v>46146</v>
      </c>
      <c r="G21" s="8" t="n">
        <v>46146</v>
      </c>
      <c r="H21" s="9">
        <f>IF(OR(F21="",G21=""),"",G21-F21+1)</f>
        <v/>
      </c>
      <c r="I21" s="7" t="inlineStr">
        <is>
          <t>APROBADO</t>
        </is>
      </c>
      <c r="J21" s="7" t="n"/>
      <c r="K21" s="7">
        <f>IF(A21="","",A21&amp;"|"&amp;TEXT(F21,"yyyymmdd")&amp;"|"&amp;TEXT(G21,"yyyymmdd"))</f>
        <v/>
      </c>
    </row>
    <row r="22">
      <c r="A22" s="7" t="n">
        <v>120</v>
      </c>
      <c r="B22" s="7">
        <f>IF(A22="","",IFERROR(VLOOKUP(A22,Empleados!A:B,2,FALSE),""))</f>
        <v/>
      </c>
      <c r="C22" s="7">
        <f>IF(A22="","",IFERROR(VLOOKUP(A22,Empleados!A:J,9,FALSE),""))</f>
        <v/>
      </c>
      <c r="D22" s="7">
        <f>IF(A22="","",IFERROR(VLOOKUP(A22,Empleados!A:I,8,FALSE),""))</f>
        <v/>
      </c>
      <c r="E22" s="7" t="inlineStr">
        <is>
          <t>PRESENTE</t>
        </is>
      </c>
      <c r="F22" s="8" t="n">
        <v>46156</v>
      </c>
      <c r="G22" s="8" t="n">
        <v>46156</v>
      </c>
      <c r="H22" s="9">
        <f>IF(OR(F22="",G22=""),"",G22-F22+1)</f>
        <v/>
      </c>
      <c r="I22" s="7" t="inlineStr">
        <is>
          <t>APROBADO</t>
        </is>
      </c>
      <c r="J22" s="7" t="n"/>
      <c r="K22" s="7">
        <f>IF(A22="","",A22&amp;"|"&amp;TEXT(F22,"yyyymmdd")&amp;"|"&amp;TEXT(G22,"yyyymmdd"))</f>
        <v/>
      </c>
    </row>
    <row r="23">
      <c r="A23" s="7" t="n">
        <v>121</v>
      </c>
      <c r="B23" s="7">
        <f>IF(A23="","",IFERROR(VLOOKUP(A23,Empleados!A:B,2,FALSE),""))</f>
        <v/>
      </c>
      <c r="C23" s="7">
        <f>IF(A23="","",IFERROR(VLOOKUP(A23,Empleados!A:J,9,FALSE),""))</f>
        <v/>
      </c>
      <c r="D23" s="7">
        <f>IF(A23="","",IFERROR(VLOOKUP(A23,Empleados!A:I,8,FALSE),""))</f>
        <v/>
      </c>
      <c r="E23" s="14" t="inlineStr">
        <is>
          <t>PRESENTE</t>
        </is>
      </c>
      <c r="F23" s="8" t="n">
        <v>46156</v>
      </c>
      <c r="G23" s="8" t="n">
        <v>46156</v>
      </c>
      <c r="H23" s="9">
        <f>IF(OR(F23="",G23=""),"",G23-F23+1)</f>
        <v/>
      </c>
      <c r="I23" s="7" t="inlineStr">
        <is>
          <t>APROBADO</t>
        </is>
      </c>
      <c r="J23" s="7" t="n"/>
      <c r="K23" s="7">
        <f>IF(A23="","",A23&amp;"|"&amp;TEXT(F23,"yyyymmdd")&amp;"|"&amp;TEXT(G23,"yyyymmdd"))</f>
        <v/>
      </c>
    </row>
    <row r="24">
      <c r="A24" s="7" t="n">
        <v>109</v>
      </c>
      <c r="B24" s="7">
        <f>IF(A24="","",IFERROR(VLOOKUP(A24,Empleados!A:B,2,FALSE),""))</f>
        <v/>
      </c>
      <c r="C24" s="7">
        <f>IF(A24="","",IFERROR(VLOOKUP(A24,Empleados!A:J,9,FALSE),""))</f>
        <v/>
      </c>
      <c r="D24" s="7">
        <f>IF(A24="","",IFERROR(VLOOKUP(A24,Empleados!A:I,8,FALSE),""))</f>
        <v/>
      </c>
      <c r="E24" s="7" t="inlineStr">
        <is>
          <t>PRESENTE</t>
        </is>
      </c>
      <c r="F24" s="8" t="n">
        <v>46190</v>
      </c>
      <c r="G24" s="8" t="n">
        <v>46191</v>
      </c>
      <c r="H24" s="9">
        <f>IF(OR(F24="",G24=""),"",G24-F24+1)</f>
        <v/>
      </c>
      <c r="I24" s="7" t="inlineStr">
        <is>
          <t>APROBADO</t>
        </is>
      </c>
      <c r="J24" s="7" t="n"/>
      <c r="K24" s="7">
        <f>IF(A24="","",A24&amp;"|"&amp;TEXT(F24,"yyyymmdd")&amp;"|"&amp;TEXT(G24,"yyyymmdd"))</f>
        <v/>
      </c>
    </row>
    <row r="25">
      <c r="A25" s="7" t="n">
        <v>1</v>
      </c>
      <c r="B25" s="7">
        <f>IF(A25="","",IFERROR(VLOOKUP(A25,Empleados!A:B,2,FALSE),""))</f>
        <v/>
      </c>
      <c r="C25" s="7">
        <f>IF(A25="","",IFERROR(VLOOKUP(A25,Empleados!A:J,9,FALSE),""))</f>
        <v/>
      </c>
      <c r="D25" s="7">
        <f>IF(A25="","",IFERROR(VLOOKUP(A25,Empleados!A:I,8,FALSE),""))</f>
        <v/>
      </c>
      <c r="E25" s="7" t="inlineStr">
        <is>
          <t>FERIADO</t>
        </is>
      </c>
      <c r="F25" s="8" t="n">
        <v>46188</v>
      </c>
      <c r="G25" s="8" t="n">
        <v>46188</v>
      </c>
      <c r="H25" s="9">
        <f>IF(OR(F25="",G25=""),"",G25-F25+1)</f>
        <v/>
      </c>
      <c r="I25" s="7" t="inlineStr">
        <is>
          <t>APROBADO</t>
        </is>
      </c>
      <c r="J25" s="7" t="n"/>
      <c r="K25" s="7">
        <f>IF(A25="","",A25&amp;"|"&amp;TEXT(F25,"yyyymmdd")&amp;"|"&amp;TEXT(G25,"yyyymmdd"))</f>
        <v/>
      </c>
    </row>
    <row r="26">
      <c r="A26" s="7" t="n">
        <v>111</v>
      </c>
      <c r="B26" s="7">
        <f>IF(A26="","",IFERROR(VLOOKUP(A26,Empleados!A:B,2,FALSE),""))</f>
        <v/>
      </c>
      <c r="C26" s="7">
        <f>IF(A26="","",IFERROR(VLOOKUP(A26,Empleados!A:J,9,FALSE),""))</f>
        <v/>
      </c>
      <c r="D26" s="7">
        <f>IF(A26="","",IFERROR(VLOOKUP(A26,Empleados!A:I,8,FALSE),""))</f>
        <v/>
      </c>
      <c r="E26" s="14" t="inlineStr">
        <is>
          <t>AUSENCIA</t>
        </is>
      </c>
      <c r="F26" s="8" t="n">
        <v>46196</v>
      </c>
      <c r="G26" s="8" t="n">
        <v>46196</v>
      </c>
      <c r="H26" s="9">
        <f>IF(OR(F26="",G26=""),"",G26-F26+1)</f>
        <v/>
      </c>
      <c r="I26" s="7" t="inlineStr">
        <is>
          <t>APROBADO</t>
        </is>
      </c>
      <c r="J26" s="7" t="n"/>
      <c r="K26" s="7">
        <f>IF(A26="","",A26&amp;"|"&amp;TEXT(F26,"yyyymmdd")&amp;"|"&amp;TEXT(G26,"yyyymmdd"))</f>
        <v/>
      </c>
    </row>
    <row r="27">
      <c r="A27" s="7" t="n"/>
      <c r="B27" s="7">
        <f>IF(A27="","",IFERROR(VLOOKUP(A27,Empleados!A:B,2,FALSE),""))</f>
        <v/>
      </c>
      <c r="C27" s="7">
        <f>IF(A27="","",IFERROR(VLOOKUP(A27,Empleados!A:J,9,FALSE),""))</f>
        <v/>
      </c>
      <c r="D27" s="7">
        <f>IF(A27="","",IFERROR(VLOOKUP(A27,Empleados!A:I,8,FALSE),""))</f>
        <v/>
      </c>
      <c r="E27" s="7" t="n"/>
      <c r="F27" s="8" t="n"/>
      <c r="G27" s="8" t="n"/>
      <c r="H27" s="9">
        <f>IF(OR(F27="",G27=""),"",G27-F27+1)</f>
        <v/>
      </c>
      <c r="I27" s="7">
        <f>IF(A27="","","PENDIENTE")</f>
        <v/>
      </c>
      <c r="J27" s="7" t="n"/>
      <c r="K27" s="7">
        <f>IF(A27="","",A27&amp;"|"&amp;TEXT(F27,"yyyymmdd")&amp;"|"&amp;TEXT(G27,"yyyymmdd"))</f>
        <v/>
      </c>
    </row>
    <row r="28">
      <c r="A28" s="7" t="n"/>
      <c r="B28" s="7">
        <f>IF(A28="","",IFERROR(VLOOKUP(A28,Empleados!A:B,2,FALSE),""))</f>
        <v/>
      </c>
      <c r="C28" s="7">
        <f>IF(A28="","",IFERROR(VLOOKUP(A28,Empleados!A:J,9,FALSE),""))</f>
        <v/>
      </c>
      <c r="D28" s="7">
        <f>IF(A28="","",IFERROR(VLOOKUP(A28,Empleados!A:I,8,FALSE),""))</f>
        <v/>
      </c>
      <c r="E28" s="7" t="n"/>
      <c r="F28" s="8" t="n"/>
      <c r="G28" s="8" t="n"/>
      <c r="H28" s="9">
        <f>IF(OR(F28="",G28=""),"",G28-F28+1)</f>
        <v/>
      </c>
      <c r="I28" s="7">
        <f>IF(A28="","","PENDIENTE")</f>
        <v/>
      </c>
      <c r="J28" s="7" t="n"/>
      <c r="K28" s="7">
        <f>IF(A28="","",A28&amp;"|"&amp;TEXT(F28,"yyyymmdd")&amp;"|"&amp;TEXT(G28,"yyyymmdd"))</f>
        <v/>
      </c>
    </row>
    <row r="29">
      <c r="A29" s="7" t="n"/>
      <c r="B29" s="7">
        <f>IF(A29="","",IFERROR(VLOOKUP(A29,Empleados!A:B,2,FALSE),""))</f>
        <v/>
      </c>
      <c r="C29" s="7">
        <f>IF(A29="","",IFERROR(VLOOKUP(A29,Empleados!A:J,9,FALSE),""))</f>
        <v/>
      </c>
      <c r="D29" s="7">
        <f>IF(A29="","",IFERROR(VLOOKUP(A29,Empleados!A:I,8,FALSE),""))</f>
        <v/>
      </c>
      <c r="E29" s="7" t="n"/>
      <c r="F29" s="8" t="n"/>
      <c r="G29" s="8" t="n"/>
      <c r="H29" s="9">
        <f>IF(OR(F29="",G29=""),"",G29-F29+1)</f>
        <v/>
      </c>
      <c r="I29" s="7">
        <f>IF(A29="","","PENDIENTE")</f>
        <v/>
      </c>
      <c r="J29" s="7" t="n"/>
      <c r="K29" s="7">
        <f>IF(A29="","",A29&amp;"|"&amp;TEXT(F29,"yyyymmdd")&amp;"|"&amp;TEXT(G29,"yyyymmdd"))</f>
        <v/>
      </c>
    </row>
    <row r="30">
      <c r="A30" s="7" t="n"/>
      <c r="B30" s="7">
        <f>IF(A30="","",IFERROR(VLOOKUP(A30,Empleados!A:B,2,FALSE),""))</f>
        <v/>
      </c>
      <c r="C30" s="7">
        <f>IF(A30="","",IFERROR(VLOOKUP(A30,Empleados!A:J,9,FALSE),""))</f>
        <v/>
      </c>
      <c r="D30" s="7">
        <f>IF(A30="","",IFERROR(VLOOKUP(A30,Empleados!A:I,8,FALSE),""))</f>
        <v/>
      </c>
      <c r="E30" s="7" t="n"/>
      <c r="F30" s="8" t="n"/>
      <c r="G30" s="8" t="n"/>
      <c r="H30" s="9">
        <f>IF(OR(F30="",G30=""),"",G30-F30+1)</f>
        <v/>
      </c>
      <c r="I30" s="7">
        <f>IF(A30="","","PENDIENTE")</f>
        <v/>
      </c>
      <c r="J30" s="7" t="n"/>
      <c r="K30" s="7">
        <f>IF(A30="","",A30&amp;"|"&amp;TEXT(F30,"yyyymmdd")&amp;"|"&amp;TEXT(G30,"yyyymmdd"))</f>
        <v/>
      </c>
    </row>
    <row r="31">
      <c r="A31" s="7" t="n"/>
      <c r="B31" s="7">
        <f>IF(A31="","",IFERROR(VLOOKUP(A31,Empleados!A:B,2,FALSE),""))</f>
        <v/>
      </c>
      <c r="C31" s="7">
        <f>IF(A31="","",IFERROR(VLOOKUP(A31,Empleados!A:J,9,FALSE),""))</f>
        <v/>
      </c>
      <c r="D31" s="7">
        <f>IF(A31="","",IFERROR(VLOOKUP(A31,Empleados!A:I,8,FALSE),""))</f>
        <v/>
      </c>
      <c r="E31" s="7" t="n"/>
      <c r="F31" s="8" t="n"/>
      <c r="G31" s="8" t="n"/>
      <c r="H31" s="9">
        <f>IF(OR(F31="",G31=""),"",G31-F31+1)</f>
        <v/>
      </c>
      <c r="I31" s="7">
        <f>IF(A31="","","PENDIENTE")</f>
        <v/>
      </c>
      <c r="J31" s="7" t="n"/>
      <c r="K31" s="7">
        <f>IF(A31="","",A31&amp;"|"&amp;TEXT(F31,"yyyymmdd")&amp;"|"&amp;TEXT(G31,"yyyymmdd"))</f>
        <v/>
      </c>
    </row>
    <row r="32">
      <c r="A32" s="7" t="n"/>
      <c r="B32" s="7">
        <f>IF(A32="","",IFERROR(VLOOKUP(A32,Empleados!A:B,2,FALSE),""))</f>
        <v/>
      </c>
      <c r="C32" s="7">
        <f>IF(A32="","",IFERROR(VLOOKUP(A32,Empleados!A:J,9,FALSE),""))</f>
        <v/>
      </c>
      <c r="D32" s="7">
        <f>IF(A32="","",IFERROR(VLOOKUP(A32,Empleados!A:I,8,FALSE),""))</f>
        <v/>
      </c>
      <c r="E32" s="7" t="n"/>
      <c r="F32" s="8" t="n"/>
      <c r="G32" s="8" t="n"/>
      <c r="H32" s="9">
        <f>IF(OR(F32="",G32=""),"",G32-F32+1)</f>
        <v/>
      </c>
      <c r="I32" s="7">
        <f>IF(A32="","","PENDIENTE")</f>
        <v/>
      </c>
      <c r="J32" s="7" t="n"/>
      <c r="K32" s="7">
        <f>IF(A32="","",A32&amp;"|"&amp;TEXT(F32,"yyyymmdd")&amp;"|"&amp;TEXT(G32,"yyyymmdd"))</f>
        <v/>
      </c>
    </row>
    <row r="33">
      <c r="A33" s="7" t="n"/>
      <c r="B33" s="7">
        <f>IF(A33="","",IFERROR(VLOOKUP(A33,Empleados!A:B,2,FALSE),""))</f>
        <v/>
      </c>
      <c r="C33" s="7">
        <f>IF(A33="","",IFERROR(VLOOKUP(A33,Empleados!A:J,9,FALSE),""))</f>
        <v/>
      </c>
      <c r="D33" s="7">
        <f>IF(A33="","",IFERROR(VLOOKUP(A33,Empleados!A:I,8,FALSE),""))</f>
        <v/>
      </c>
      <c r="E33" s="7" t="n"/>
      <c r="F33" s="8" t="n"/>
      <c r="G33" s="8" t="n"/>
      <c r="H33" s="9">
        <f>IF(OR(F33="",G33=""),"",G33-F33+1)</f>
        <v/>
      </c>
      <c r="I33" s="7">
        <f>IF(A33="","","PENDIENTE")</f>
        <v/>
      </c>
      <c r="J33" s="7" t="n"/>
      <c r="K33" s="7">
        <f>IF(A33="","",A33&amp;"|"&amp;TEXT(F33,"yyyymmdd")&amp;"|"&amp;TEXT(G33,"yyyymmdd"))</f>
        <v/>
      </c>
    </row>
    <row r="34">
      <c r="A34" s="7" t="n"/>
      <c r="B34" s="7">
        <f>IF(A34="","",IFERROR(VLOOKUP(A34,Empleados!A:B,2,FALSE),""))</f>
        <v/>
      </c>
      <c r="C34" s="7">
        <f>IF(A34="","",IFERROR(VLOOKUP(A34,Empleados!A:J,9,FALSE),""))</f>
        <v/>
      </c>
      <c r="D34" s="7">
        <f>IF(A34="","",IFERROR(VLOOKUP(A34,Empleados!A:I,8,FALSE),""))</f>
        <v/>
      </c>
      <c r="E34" s="7" t="n"/>
      <c r="F34" s="8" t="n"/>
      <c r="G34" s="8" t="n"/>
      <c r="H34" s="9">
        <f>IF(OR(F34="",G34=""),"",G34-F34+1)</f>
        <v/>
      </c>
      <c r="I34" s="7">
        <f>IF(A34="","","PENDIENTE")</f>
        <v/>
      </c>
      <c r="J34" s="7" t="n"/>
      <c r="K34" s="7">
        <f>IF(A34="","",A34&amp;"|"&amp;TEXT(F34,"yyyymmdd")&amp;"|"&amp;TEXT(G34,"yyyymmdd"))</f>
        <v/>
      </c>
    </row>
    <row r="35">
      <c r="A35" s="7" t="n"/>
      <c r="B35" s="7">
        <f>IF(A35="","",IFERROR(VLOOKUP(A35,Empleados!A:B,2,FALSE),""))</f>
        <v/>
      </c>
      <c r="C35" s="7">
        <f>IF(A35="","",IFERROR(VLOOKUP(A35,Empleados!A:J,9,FALSE),""))</f>
        <v/>
      </c>
      <c r="D35" s="7">
        <f>IF(A35="","",IFERROR(VLOOKUP(A35,Empleados!A:I,8,FALSE),""))</f>
        <v/>
      </c>
      <c r="E35" s="7" t="n"/>
      <c r="F35" s="8" t="n"/>
      <c r="G35" s="8" t="n"/>
      <c r="H35" s="9">
        <f>IF(OR(F35="",G35=""),"",G35-F35+1)</f>
        <v/>
      </c>
      <c r="I35" s="7">
        <f>IF(A35="","","PENDIENTE")</f>
        <v/>
      </c>
      <c r="J35" s="7" t="n"/>
      <c r="K35" s="7">
        <f>IF(A35="","",A35&amp;"|"&amp;TEXT(F35,"yyyymmdd")&amp;"|"&amp;TEXT(G35,"yyyymmdd"))</f>
        <v/>
      </c>
    </row>
    <row r="36">
      <c r="A36" s="7" t="n"/>
      <c r="B36" s="7">
        <f>IF(A36="","",IFERROR(VLOOKUP(A36,Empleados!A:B,2,FALSE),""))</f>
        <v/>
      </c>
      <c r="C36" s="7">
        <f>IF(A36="","",IFERROR(VLOOKUP(A36,Empleados!A:J,9,FALSE),""))</f>
        <v/>
      </c>
      <c r="D36" s="7">
        <f>IF(A36="","",IFERROR(VLOOKUP(A36,Empleados!A:I,8,FALSE),""))</f>
        <v/>
      </c>
      <c r="E36" s="7" t="n"/>
      <c r="F36" s="8" t="n"/>
      <c r="G36" s="8" t="n"/>
      <c r="H36" s="9">
        <f>IF(OR(F36="",G36=""),"",G36-F36+1)</f>
        <v/>
      </c>
      <c r="I36" s="7">
        <f>IF(A36="","","PENDIENTE")</f>
        <v/>
      </c>
      <c r="J36" s="7" t="n"/>
      <c r="K36" s="7">
        <f>IF(A36="","",A36&amp;"|"&amp;TEXT(F36,"yyyymmdd")&amp;"|"&amp;TEXT(G36,"yyyymmdd"))</f>
        <v/>
      </c>
    </row>
    <row r="37">
      <c r="A37" s="7" t="n"/>
      <c r="B37" s="7">
        <f>IF(A37="","",IFERROR(VLOOKUP(A37,Empleados!A:B,2,FALSE),""))</f>
        <v/>
      </c>
      <c r="C37" s="7">
        <f>IF(A37="","",IFERROR(VLOOKUP(A37,Empleados!A:J,9,FALSE),""))</f>
        <v/>
      </c>
      <c r="D37" s="7">
        <f>IF(A37="","",IFERROR(VLOOKUP(A37,Empleados!A:I,8,FALSE),""))</f>
        <v/>
      </c>
      <c r="E37" s="7" t="n"/>
      <c r="F37" s="8" t="n"/>
      <c r="G37" s="8" t="n"/>
      <c r="H37" s="9">
        <f>IF(OR(F37="",G37=""),"",G37-F37+1)</f>
        <v/>
      </c>
      <c r="I37" s="7">
        <f>IF(A37="","","PENDIENTE")</f>
        <v/>
      </c>
      <c r="J37" s="7" t="n"/>
      <c r="K37" s="7">
        <f>IF(A37="","",A37&amp;"|"&amp;TEXT(F37,"yyyymmdd")&amp;"|"&amp;TEXT(G37,"yyyymmdd"))</f>
        <v/>
      </c>
    </row>
    <row r="38">
      <c r="A38" s="7" t="n"/>
      <c r="B38" s="7">
        <f>IF(A38="","",IFERROR(VLOOKUP(A38,Empleados!A:B,2,FALSE),""))</f>
        <v/>
      </c>
      <c r="C38" s="7">
        <f>IF(A38="","",IFERROR(VLOOKUP(A38,Empleados!A:J,9,FALSE),""))</f>
        <v/>
      </c>
      <c r="D38" s="7">
        <f>IF(A38="","",IFERROR(VLOOKUP(A38,Empleados!A:I,8,FALSE),""))</f>
        <v/>
      </c>
      <c r="E38" s="7" t="n"/>
      <c r="F38" s="8" t="n"/>
      <c r="G38" s="8" t="n"/>
      <c r="H38" s="9">
        <f>IF(OR(F38="",G38=""),"",G38-F38+1)</f>
        <v/>
      </c>
      <c r="I38" s="7">
        <f>IF(A38="","","PENDIENTE")</f>
        <v/>
      </c>
      <c r="J38" s="7" t="n"/>
      <c r="K38" s="7">
        <f>IF(A38="","",A38&amp;"|"&amp;TEXT(F38,"yyyymmdd")&amp;"|"&amp;TEXT(G38,"yyyymmdd"))</f>
        <v/>
      </c>
    </row>
    <row r="39">
      <c r="A39" s="7" t="n"/>
      <c r="B39" s="7">
        <f>IF(A39="","",IFERROR(VLOOKUP(A39,Empleados!A:B,2,FALSE),""))</f>
        <v/>
      </c>
      <c r="C39" s="7">
        <f>IF(A39="","",IFERROR(VLOOKUP(A39,Empleados!A:J,9,FALSE),""))</f>
        <v/>
      </c>
      <c r="D39" s="7">
        <f>IF(A39="","",IFERROR(VLOOKUP(A39,Empleados!A:I,8,FALSE),""))</f>
        <v/>
      </c>
      <c r="E39" s="7" t="n"/>
      <c r="F39" s="8" t="n"/>
      <c r="G39" s="8" t="n"/>
      <c r="H39" s="9">
        <f>IF(OR(F39="",G39=""),"",G39-F39+1)</f>
        <v/>
      </c>
      <c r="I39" s="7">
        <f>IF(A39="","","PENDIENTE")</f>
        <v/>
      </c>
      <c r="J39" s="7" t="n"/>
      <c r="K39" s="7">
        <f>IF(A39="","",A39&amp;"|"&amp;TEXT(F39,"yyyymmdd")&amp;"|"&amp;TEXT(G39,"yyyymmdd"))</f>
        <v/>
      </c>
    </row>
    <row r="40">
      <c r="A40" s="7" t="n"/>
      <c r="B40" s="7">
        <f>IF(A40="","",IFERROR(VLOOKUP(A40,Empleados!A:B,2,FALSE),""))</f>
        <v/>
      </c>
      <c r="C40" s="7">
        <f>IF(A40="","",IFERROR(VLOOKUP(A40,Empleados!A:J,9,FALSE),""))</f>
        <v/>
      </c>
      <c r="D40" s="7">
        <f>IF(A40="","",IFERROR(VLOOKUP(A40,Empleados!A:I,8,FALSE),""))</f>
        <v/>
      </c>
      <c r="E40" s="7" t="n"/>
      <c r="F40" s="8" t="n"/>
      <c r="G40" s="8" t="n"/>
      <c r="H40" s="9">
        <f>IF(OR(F40="",G40=""),"",G40-F40+1)</f>
        <v/>
      </c>
      <c r="I40" s="7">
        <f>IF(A40="","","PENDIENTE")</f>
        <v/>
      </c>
      <c r="J40" s="7" t="n"/>
      <c r="K40" s="7">
        <f>IF(A40="","",A40&amp;"|"&amp;TEXT(F40,"yyyymmdd")&amp;"|"&amp;TEXT(G40,"yyyymmdd"))</f>
        <v/>
      </c>
    </row>
    <row r="41">
      <c r="A41" s="7" t="n"/>
      <c r="B41" s="7">
        <f>IF(A41="","",IFERROR(VLOOKUP(A41,Empleados!A:B,2,FALSE),""))</f>
        <v/>
      </c>
      <c r="C41" s="7">
        <f>IF(A41="","",IFERROR(VLOOKUP(A41,Empleados!A:J,9,FALSE),""))</f>
        <v/>
      </c>
      <c r="D41" s="7">
        <f>IF(A41="","",IFERROR(VLOOKUP(A41,Empleados!A:I,8,FALSE),""))</f>
        <v/>
      </c>
      <c r="E41" s="7" t="n"/>
      <c r="F41" s="8" t="n"/>
      <c r="G41" s="8" t="n"/>
      <c r="H41" s="9">
        <f>IF(OR(F41="",G41=""),"",G41-F41+1)</f>
        <v/>
      </c>
      <c r="I41" s="7">
        <f>IF(A41="","","PENDIENTE")</f>
        <v/>
      </c>
      <c r="J41" s="7" t="n"/>
      <c r="K41" s="7">
        <f>IF(A41="","",A41&amp;"|"&amp;TEXT(F41,"yyyymmdd")&amp;"|"&amp;TEXT(G41,"yyyymmdd"))</f>
        <v/>
      </c>
    </row>
    <row r="42">
      <c r="A42" s="7" t="n"/>
      <c r="B42" s="7">
        <f>IF(A42="","",IFERROR(VLOOKUP(A42,Empleados!A:B,2,FALSE),""))</f>
        <v/>
      </c>
      <c r="C42" s="7">
        <f>IF(A42="","",IFERROR(VLOOKUP(A42,Empleados!A:J,9,FALSE),""))</f>
        <v/>
      </c>
      <c r="D42" s="7">
        <f>IF(A42="","",IFERROR(VLOOKUP(A42,Empleados!A:I,8,FALSE),""))</f>
        <v/>
      </c>
      <c r="E42" s="7" t="n"/>
      <c r="F42" s="8" t="n"/>
      <c r="G42" s="8" t="n"/>
      <c r="H42" s="9">
        <f>IF(OR(F42="",G42=""),"",G42-F42+1)</f>
        <v/>
      </c>
      <c r="I42" s="7">
        <f>IF(A42="","","PENDIENTE")</f>
        <v/>
      </c>
      <c r="J42" s="7" t="n"/>
      <c r="K42" s="7">
        <f>IF(A42="","",A42&amp;"|"&amp;TEXT(F42,"yyyymmdd")&amp;"|"&amp;TEXT(G42,"yyyymmdd"))</f>
        <v/>
      </c>
    </row>
    <row r="43">
      <c r="A43" s="7" t="n"/>
      <c r="B43" s="7">
        <f>IF(A43="","",IFERROR(VLOOKUP(A43,Empleados!A:B,2,FALSE),""))</f>
        <v/>
      </c>
      <c r="C43" s="7">
        <f>IF(A43="","",IFERROR(VLOOKUP(A43,Empleados!A:J,9,FALSE),""))</f>
        <v/>
      </c>
      <c r="D43" s="7">
        <f>IF(A43="","",IFERROR(VLOOKUP(A43,Empleados!A:I,8,FALSE),""))</f>
        <v/>
      </c>
      <c r="E43" s="7" t="n"/>
      <c r="F43" s="8" t="n"/>
      <c r="G43" s="8" t="n"/>
      <c r="H43" s="9">
        <f>IF(OR(F43="",G43=""),"",G43-F43+1)</f>
        <v/>
      </c>
      <c r="I43" s="7">
        <f>IF(A43="","","PENDIENTE")</f>
        <v/>
      </c>
      <c r="J43" s="7" t="n"/>
      <c r="K43" s="7">
        <f>IF(A43="","",A43&amp;"|"&amp;TEXT(F43,"yyyymmdd")&amp;"|"&amp;TEXT(G43,"yyyymmdd"))</f>
        <v/>
      </c>
    </row>
    <row r="44">
      <c r="A44" s="7" t="n"/>
      <c r="B44" s="7">
        <f>IF(A44="","",IFERROR(VLOOKUP(A44,Empleados!A:B,2,FALSE),""))</f>
        <v/>
      </c>
      <c r="C44" s="7">
        <f>IF(A44="","",IFERROR(VLOOKUP(A44,Empleados!A:J,9,FALSE),""))</f>
        <v/>
      </c>
      <c r="D44" s="7">
        <f>IF(A44="","",IFERROR(VLOOKUP(A44,Empleados!A:I,8,FALSE),""))</f>
        <v/>
      </c>
      <c r="E44" s="7" t="n"/>
      <c r="F44" s="8" t="n"/>
      <c r="G44" s="8" t="n"/>
      <c r="H44" s="9">
        <f>IF(OR(F44="",G44=""),"",G44-F44+1)</f>
        <v/>
      </c>
      <c r="I44" s="7">
        <f>IF(A44="","","PENDIENTE")</f>
        <v/>
      </c>
      <c r="J44" s="7" t="n"/>
      <c r="K44" s="7">
        <f>IF(A44="","",A44&amp;"|"&amp;TEXT(F44,"yyyymmdd")&amp;"|"&amp;TEXT(G44,"yyyymmdd"))</f>
        <v/>
      </c>
    </row>
    <row r="45">
      <c r="A45" s="7" t="n"/>
      <c r="B45" s="7">
        <f>IF(A45="","",IFERROR(VLOOKUP(A45,Empleados!A:B,2,FALSE),""))</f>
        <v/>
      </c>
      <c r="C45" s="7">
        <f>IF(A45="","",IFERROR(VLOOKUP(A45,Empleados!A:J,9,FALSE),""))</f>
        <v/>
      </c>
      <c r="D45" s="7">
        <f>IF(A45="","",IFERROR(VLOOKUP(A45,Empleados!A:I,8,FALSE),""))</f>
        <v/>
      </c>
      <c r="E45" s="7" t="n"/>
      <c r="F45" s="8" t="n"/>
      <c r="G45" s="8" t="n"/>
      <c r="H45" s="9">
        <f>IF(OR(F45="",G45=""),"",G45-F45+1)</f>
        <v/>
      </c>
      <c r="I45" s="7">
        <f>IF(A45="","","PENDIENTE")</f>
        <v/>
      </c>
      <c r="J45" s="7" t="n"/>
      <c r="K45" s="7">
        <f>IF(A45="","",A45&amp;"|"&amp;TEXT(F45,"yyyymmdd")&amp;"|"&amp;TEXT(G45,"yyyymmdd"))</f>
        <v/>
      </c>
    </row>
    <row r="46">
      <c r="A46" s="7" t="n"/>
      <c r="B46" s="7">
        <f>IF(A46="","",IFERROR(VLOOKUP(A46,Empleados!A:B,2,FALSE),""))</f>
        <v/>
      </c>
      <c r="C46" s="7">
        <f>IF(A46="","",IFERROR(VLOOKUP(A46,Empleados!A:J,9,FALSE),""))</f>
        <v/>
      </c>
      <c r="D46" s="7">
        <f>IF(A46="","",IFERROR(VLOOKUP(A46,Empleados!A:I,8,FALSE),""))</f>
        <v/>
      </c>
      <c r="E46" s="7" t="n"/>
      <c r="F46" s="8" t="n"/>
      <c r="G46" s="8" t="n"/>
      <c r="H46" s="9">
        <f>IF(OR(F46="",G46=""),"",G46-F46+1)</f>
        <v/>
      </c>
      <c r="I46" s="7">
        <f>IF(A46="","","PENDIENTE")</f>
        <v/>
      </c>
      <c r="J46" s="7" t="n"/>
      <c r="K46" s="7">
        <f>IF(A46="","",A46&amp;"|"&amp;TEXT(F46,"yyyymmdd")&amp;"|"&amp;TEXT(G46,"yyyymmdd"))</f>
        <v/>
      </c>
    </row>
    <row r="47">
      <c r="A47" s="7" t="n"/>
      <c r="B47" s="7">
        <f>IF(A47="","",IFERROR(VLOOKUP(A47,Empleados!A:B,2,FALSE),""))</f>
        <v/>
      </c>
      <c r="C47" s="7">
        <f>IF(A47="","",IFERROR(VLOOKUP(A47,Empleados!A:J,9,FALSE),""))</f>
        <v/>
      </c>
      <c r="D47" s="7">
        <f>IF(A47="","",IFERROR(VLOOKUP(A47,Empleados!A:I,8,FALSE),""))</f>
        <v/>
      </c>
      <c r="E47" s="7" t="n"/>
      <c r="F47" s="8" t="n"/>
      <c r="G47" s="8" t="n"/>
      <c r="H47" s="9">
        <f>IF(OR(F47="",G47=""),"",G47-F47+1)</f>
        <v/>
      </c>
      <c r="I47" s="7">
        <f>IF(A47="","","PENDIENTE")</f>
        <v/>
      </c>
      <c r="J47" s="7" t="n"/>
      <c r="K47" s="7">
        <f>IF(A47="","",A47&amp;"|"&amp;TEXT(F47,"yyyymmdd")&amp;"|"&amp;TEXT(G47,"yyyymmdd"))</f>
        <v/>
      </c>
    </row>
    <row r="48">
      <c r="A48" s="7" t="n"/>
      <c r="B48" s="7">
        <f>IF(A48="","",IFERROR(VLOOKUP(A48,Empleados!A:B,2,FALSE),""))</f>
        <v/>
      </c>
      <c r="C48" s="7">
        <f>IF(A48="","",IFERROR(VLOOKUP(A48,Empleados!A:J,9,FALSE),""))</f>
        <v/>
      </c>
      <c r="D48" s="7">
        <f>IF(A48="","",IFERROR(VLOOKUP(A48,Empleados!A:I,8,FALSE),""))</f>
        <v/>
      </c>
      <c r="E48" s="7" t="n"/>
      <c r="F48" s="8" t="n"/>
      <c r="G48" s="8" t="n"/>
      <c r="H48" s="9">
        <f>IF(OR(F48="",G48=""),"",G48-F48+1)</f>
        <v/>
      </c>
      <c r="I48" s="7">
        <f>IF(A48="","","PENDIENTE")</f>
        <v/>
      </c>
      <c r="J48" s="7" t="n"/>
      <c r="K48" s="7">
        <f>IF(A48="","",A48&amp;"|"&amp;TEXT(F48,"yyyymmdd")&amp;"|"&amp;TEXT(G48,"yyyymmdd"))</f>
        <v/>
      </c>
    </row>
    <row r="49">
      <c r="A49" s="7" t="n"/>
      <c r="B49" s="7">
        <f>IF(A49="","",IFERROR(VLOOKUP(A49,Empleados!A:B,2,FALSE),""))</f>
        <v/>
      </c>
      <c r="C49" s="7">
        <f>IF(A49="","",IFERROR(VLOOKUP(A49,Empleados!A:J,9,FALSE),""))</f>
        <v/>
      </c>
      <c r="D49" s="7">
        <f>IF(A49="","",IFERROR(VLOOKUP(A49,Empleados!A:I,8,FALSE),""))</f>
        <v/>
      </c>
      <c r="E49" s="7" t="n"/>
      <c r="F49" s="8" t="n"/>
      <c r="G49" s="8" t="n"/>
      <c r="H49" s="9">
        <f>IF(OR(F49="",G49=""),"",G49-F49+1)</f>
        <v/>
      </c>
      <c r="I49" s="7">
        <f>IF(A49="","","PENDIENTE")</f>
        <v/>
      </c>
      <c r="J49" s="7" t="n"/>
      <c r="K49" s="7">
        <f>IF(A49="","",A49&amp;"|"&amp;TEXT(F49,"yyyymmdd")&amp;"|"&amp;TEXT(G49,"yyyymmdd"))</f>
        <v/>
      </c>
    </row>
    <row r="50">
      <c r="A50" s="7" t="n"/>
      <c r="B50" s="7">
        <f>IF(A50="","",IFERROR(VLOOKUP(A50,Empleados!A:B,2,FALSE),""))</f>
        <v/>
      </c>
      <c r="C50" s="7">
        <f>IF(A50="","",IFERROR(VLOOKUP(A50,Empleados!A:J,9,FALSE),""))</f>
        <v/>
      </c>
      <c r="D50" s="7">
        <f>IF(A50="","",IFERROR(VLOOKUP(A50,Empleados!A:I,8,FALSE),""))</f>
        <v/>
      </c>
      <c r="E50" s="7" t="n"/>
      <c r="F50" s="8" t="n"/>
      <c r="G50" s="8" t="n"/>
      <c r="H50" s="9">
        <f>IF(OR(F50="",G50=""),"",G50-F50+1)</f>
        <v/>
      </c>
      <c r="I50" s="7">
        <f>IF(A50="","","PENDIENTE")</f>
        <v/>
      </c>
      <c r="J50" s="7" t="n"/>
      <c r="K50" s="7">
        <f>IF(A50="","",A50&amp;"|"&amp;TEXT(F50,"yyyymmdd")&amp;"|"&amp;TEXT(G50,"yyyymmdd"))</f>
        <v/>
      </c>
    </row>
    <row r="51">
      <c r="A51" s="7" t="n"/>
      <c r="B51" s="7">
        <f>IF(A51="","",IFERROR(VLOOKUP(A51,Empleados!A:B,2,FALSE),""))</f>
        <v/>
      </c>
      <c r="C51" s="7">
        <f>IF(A51="","",IFERROR(VLOOKUP(A51,Empleados!A:J,9,FALSE),""))</f>
        <v/>
      </c>
      <c r="D51" s="7">
        <f>IF(A51="","",IFERROR(VLOOKUP(A51,Empleados!A:I,8,FALSE),""))</f>
        <v/>
      </c>
      <c r="E51" s="7" t="n"/>
      <c r="F51" s="8" t="n"/>
      <c r="G51" s="8" t="n"/>
      <c r="H51" s="9">
        <f>IF(OR(F51="",G51=""),"",G51-F51+1)</f>
        <v/>
      </c>
      <c r="I51" s="7">
        <f>IF(A51="","","PENDIENTE")</f>
        <v/>
      </c>
      <c r="J51" s="7" t="n"/>
      <c r="K51" s="7">
        <f>IF(A51="","",A51&amp;"|"&amp;TEXT(F51,"yyyymmdd")&amp;"|"&amp;TEXT(G51,"yyyymmdd"))</f>
        <v/>
      </c>
    </row>
    <row r="52">
      <c r="A52" s="7" t="n"/>
      <c r="B52" s="7">
        <f>IF(A52="","",IFERROR(VLOOKUP(A52,Empleados!A:B,2,FALSE),""))</f>
        <v/>
      </c>
      <c r="C52" s="7">
        <f>IF(A52="","",IFERROR(VLOOKUP(A52,Empleados!A:J,9,FALSE),""))</f>
        <v/>
      </c>
      <c r="D52" s="7">
        <f>IF(A52="","",IFERROR(VLOOKUP(A52,Empleados!A:I,8,FALSE),""))</f>
        <v/>
      </c>
      <c r="E52" s="7" t="n"/>
      <c r="F52" s="8" t="n"/>
      <c r="G52" s="8" t="n"/>
      <c r="H52" s="9">
        <f>IF(OR(F52="",G52=""),"",G52-F52+1)</f>
        <v/>
      </c>
      <c r="I52" s="7">
        <f>IF(A52="","","PENDIENTE")</f>
        <v/>
      </c>
      <c r="J52" s="7" t="n"/>
      <c r="K52" s="7">
        <f>IF(A52="","",A52&amp;"|"&amp;TEXT(F52,"yyyymmdd")&amp;"|"&amp;TEXT(G52,"yyyymmdd"))</f>
        <v/>
      </c>
    </row>
    <row r="53">
      <c r="A53" s="7" t="n"/>
      <c r="B53" s="7">
        <f>IF(A53="","",IFERROR(VLOOKUP(A53,Empleados!A:B,2,FALSE),""))</f>
        <v/>
      </c>
      <c r="C53" s="7">
        <f>IF(A53="","",IFERROR(VLOOKUP(A53,Empleados!A:J,9,FALSE),""))</f>
        <v/>
      </c>
      <c r="D53" s="7">
        <f>IF(A53="","",IFERROR(VLOOKUP(A53,Empleados!A:I,8,FALSE),""))</f>
        <v/>
      </c>
      <c r="E53" s="7" t="n"/>
      <c r="F53" s="8" t="n"/>
      <c r="G53" s="8" t="n"/>
      <c r="H53" s="9">
        <f>IF(OR(F53="",G53=""),"",G53-F53+1)</f>
        <v/>
      </c>
      <c r="I53" s="7">
        <f>IF(A53="","","PENDIENTE")</f>
        <v/>
      </c>
      <c r="J53" s="7" t="n"/>
      <c r="K53" s="7">
        <f>IF(A53="","",A53&amp;"|"&amp;TEXT(F53,"yyyymmdd")&amp;"|"&amp;TEXT(G53,"yyyymmdd"))</f>
        <v/>
      </c>
    </row>
    <row r="54">
      <c r="A54" s="7" t="n"/>
      <c r="B54" s="7">
        <f>IF(A54="","",IFERROR(VLOOKUP(A54,Empleados!A:B,2,FALSE),""))</f>
        <v/>
      </c>
      <c r="C54" s="7">
        <f>IF(A54="","",IFERROR(VLOOKUP(A54,Empleados!A:J,9,FALSE),""))</f>
        <v/>
      </c>
      <c r="D54" s="7">
        <f>IF(A54="","",IFERROR(VLOOKUP(A54,Empleados!A:I,8,FALSE),""))</f>
        <v/>
      </c>
      <c r="E54" s="7" t="n"/>
      <c r="F54" s="8" t="n"/>
      <c r="G54" s="8" t="n"/>
      <c r="H54" s="9">
        <f>IF(OR(F54="",G54=""),"",G54-F54+1)</f>
        <v/>
      </c>
      <c r="I54" s="7">
        <f>IF(A54="","","PENDIENTE")</f>
        <v/>
      </c>
      <c r="J54" s="7" t="n"/>
      <c r="K54" s="7">
        <f>IF(A54="","",A54&amp;"|"&amp;TEXT(F54,"yyyymmdd")&amp;"|"&amp;TEXT(G54,"yyyymmdd"))</f>
        <v/>
      </c>
    </row>
    <row r="55">
      <c r="A55" s="7" t="n"/>
      <c r="B55" s="7">
        <f>IF(A55="","",IFERROR(VLOOKUP(A55,Empleados!A:B,2,FALSE),""))</f>
        <v/>
      </c>
      <c r="C55" s="7">
        <f>IF(A55="","",IFERROR(VLOOKUP(A55,Empleados!A:J,9,FALSE),""))</f>
        <v/>
      </c>
      <c r="D55" s="7">
        <f>IF(A55="","",IFERROR(VLOOKUP(A55,Empleados!A:I,8,FALSE),""))</f>
        <v/>
      </c>
      <c r="E55" s="7" t="n"/>
      <c r="F55" s="8" t="n"/>
      <c r="G55" s="8" t="n"/>
      <c r="H55" s="9">
        <f>IF(OR(F55="",G55=""),"",G55-F55+1)</f>
        <v/>
      </c>
      <c r="I55" s="7">
        <f>IF(A55="","","PENDIENTE")</f>
        <v/>
      </c>
      <c r="J55" s="7" t="n"/>
      <c r="K55" s="7">
        <f>IF(A55="","",A55&amp;"|"&amp;TEXT(F55,"yyyymmdd")&amp;"|"&amp;TEXT(G55,"yyyymmdd"))</f>
        <v/>
      </c>
    </row>
    <row r="56">
      <c r="A56" s="7" t="n"/>
      <c r="B56" s="7">
        <f>IF(A56="","",IFERROR(VLOOKUP(A56,Empleados!A:B,2,FALSE),""))</f>
        <v/>
      </c>
      <c r="C56" s="7">
        <f>IF(A56="","",IFERROR(VLOOKUP(A56,Empleados!A:J,9,FALSE),""))</f>
        <v/>
      </c>
      <c r="D56" s="7">
        <f>IF(A56="","",IFERROR(VLOOKUP(A56,Empleados!A:I,8,FALSE),""))</f>
        <v/>
      </c>
      <c r="E56" s="7" t="n"/>
      <c r="F56" s="8" t="n"/>
      <c r="G56" s="8" t="n"/>
      <c r="H56" s="9">
        <f>IF(OR(F56="",G56=""),"",G56-F56+1)</f>
        <v/>
      </c>
      <c r="I56" s="7">
        <f>IF(A56="","","PENDIENTE")</f>
        <v/>
      </c>
      <c r="J56" s="7" t="n"/>
      <c r="K56" s="7">
        <f>IF(A56="","",A56&amp;"|"&amp;TEXT(F56,"yyyymmdd")&amp;"|"&amp;TEXT(G56,"yyyymmdd"))</f>
        <v/>
      </c>
    </row>
    <row r="57">
      <c r="A57" s="7" t="n"/>
      <c r="B57" s="7">
        <f>IF(A57="","",IFERROR(VLOOKUP(A57,Empleados!A:B,2,FALSE),""))</f>
        <v/>
      </c>
      <c r="C57" s="7">
        <f>IF(A57="","",IFERROR(VLOOKUP(A57,Empleados!A:J,9,FALSE),""))</f>
        <v/>
      </c>
      <c r="D57" s="7">
        <f>IF(A57="","",IFERROR(VLOOKUP(A57,Empleados!A:I,8,FALSE),""))</f>
        <v/>
      </c>
      <c r="E57" s="7" t="n"/>
      <c r="F57" s="8" t="n"/>
      <c r="G57" s="8" t="n"/>
      <c r="H57" s="9">
        <f>IF(OR(F57="",G57=""),"",G57-F57+1)</f>
        <v/>
      </c>
      <c r="I57" s="7">
        <f>IF(A57="","","PENDIENTE")</f>
        <v/>
      </c>
      <c r="J57" s="7" t="n"/>
      <c r="K57" s="7">
        <f>IF(A57="","",A57&amp;"|"&amp;TEXT(F57,"yyyymmdd")&amp;"|"&amp;TEXT(G57,"yyyymmdd"))</f>
        <v/>
      </c>
    </row>
    <row r="58">
      <c r="A58" s="7" t="n"/>
      <c r="B58" s="7">
        <f>IF(A58="","",IFERROR(VLOOKUP(A58,Empleados!A:B,2,FALSE),""))</f>
        <v/>
      </c>
      <c r="C58" s="7">
        <f>IF(A58="","",IFERROR(VLOOKUP(A58,Empleados!A:J,9,FALSE),""))</f>
        <v/>
      </c>
      <c r="D58" s="7">
        <f>IF(A58="","",IFERROR(VLOOKUP(A58,Empleados!A:I,8,FALSE),""))</f>
        <v/>
      </c>
      <c r="E58" s="7" t="n"/>
      <c r="F58" s="8" t="n"/>
      <c r="G58" s="8" t="n"/>
      <c r="H58" s="9">
        <f>IF(OR(F58="",G58=""),"",G58-F58+1)</f>
        <v/>
      </c>
      <c r="I58" s="7">
        <f>IF(A58="","","PENDIENTE")</f>
        <v/>
      </c>
      <c r="J58" s="7" t="n"/>
      <c r="K58" s="7">
        <f>IF(A58="","",A58&amp;"|"&amp;TEXT(F58,"yyyymmdd")&amp;"|"&amp;TEXT(G58,"yyyymmdd"))</f>
        <v/>
      </c>
    </row>
    <row r="59">
      <c r="A59" s="7" t="n"/>
      <c r="B59" s="7">
        <f>IF(A59="","",IFERROR(VLOOKUP(A59,Empleados!A:B,2,FALSE),""))</f>
        <v/>
      </c>
      <c r="C59" s="7">
        <f>IF(A59="","",IFERROR(VLOOKUP(A59,Empleados!A:J,9,FALSE),""))</f>
        <v/>
      </c>
      <c r="D59" s="7">
        <f>IF(A59="","",IFERROR(VLOOKUP(A59,Empleados!A:I,8,FALSE),""))</f>
        <v/>
      </c>
      <c r="E59" s="7" t="n"/>
      <c r="F59" s="8" t="n"/>
      <c r="G59" s="8" t="n"/>
      <c r="H59" s="9">
        <f>IF(OR(F59="",G59=""),"",G59-F59+1)</f>
        <v/>
      </c>
      <c r="I59" s="7">
        <f>IF(A59="","","PENDIENTE")</f>
        <v/>
      </c>
      <c r="J59" s="7" t="n"/>
      <c r="K59" s="7">
        <f>IF(A59="","",A59&amp;"|"&amp;TEXT(F59,"yyyymmdd")&amp;"|"&amp;TEXT(G59,"yyyymmdd"))</f>
        <v/>
      </c>
    </row>
    <row r="60">
      <c r="A60" s="7" t="n"/>
      <c r="B60" s="7">
        <f>IF(A60="","",IFERROR(VLOOKUP(A60,Empleados!A:B,2,FALSE),""))</f>
        <v/>
      </c>
      <c r="C60" s="7">
        <f>IF(A60="","",IFERROR(VLOOKUP(A60,Empleados!A:J,9,FALSE),""))</f>
        <v/>
      </c>
      <c r="D60" s="7">
        <f>IF(A60="","",IFERROR(VLOOKUP(A60,Empleados!A:I,8,FALSE),""))</f>
        <v/>
      </c>
      <c r="E60" s="7" t="n"/>
      <c r="F60" s="8" t="n"/>
      <c r="G60" s="8" t="n"/>
      <c r="H60" s="9">
        <f>IF(OR(F60="",G60=""),"",G60-F60+1)</f>
        <v/>
      </c>
      <c r="I60" s="7">
        <f>IF(A60="","","PENDIENTE")</f>
        <v/>
      </c>
      <c r="J60" s="7" t="n"/>
      <c r="K60" s="7">
        <f>IF(A60="","",A60&amp;"|"&amp;TEXT(F60,"yyyymmdd")&amp;"|"&amp;TEXT(G60,"yyyymmdd"))</f>
        <v/>
      </c>
    </row>
    <row r="61">
      <c r="A61" s="7" t="n"/>
      <c r="B61" s="7">
        <f>IF(A61="","",IFERROR(VLOOKUP(A61,Empleados!A:B,2,FALSE),""))</f>
        <v/>
      </c>
      <c r="C61" s="7">
        <f>IF(A61="","",IFERROR(VLOOKUP(A61,Empleados!A:J,9,FALSE),""))</f>
        <v/>
      </c>
      <c r="D61" s="7">
        <f>IF(A61="","",IFERROR(VLOOKUP(A61,Empleados!A:I,8,FALSE),""))</f>
        <v/>
      </c>
      <c r="E61" s="7" t="n"/>
      <c r="F61" s="8" t="n"/>
      <c r="G61" s="8" t="n"/>
      <c r="H61" s="9">
        <f>IF(OR(F61="",G61=""),"",G61-F61+1)</f>
        <v/>
      </c>
      <c r="I61" s="7">
        <f>IF(A61="","","PENDIENTE")</f>
        <v/>
      </c>
      <c r="J61" s="7" t="n"/>
      <c r="K61" s="7">
        <f>IF(A61="","",A61&amp;"|"&amp;TEXT(F61,"yyyymmdd")&amp;"|"&amp;TEXT(G61,"yyyymmdd"))</f>
        <v/>
      </c>
    </row>
    <row r="62">
      <c r="A62" s="7" t="n"/>
      <c r="B62" s="7">
        <f>IF(A62="","",IFERROR(VLOOKUP(A62,Empleados!A:B,2,FALSE),""))</f>
        <v/>
      </c>
      <c r="C62" s="7">
        <f>IF(A62="","",IFERROR(VLOOKUP(A62,Empleados!A:J,9,FALSE),""))</f>
        <v/>
      </c>
      <c r="D62" s="7">
        <f>IF(A62="","",IFERROR(VLOOKUP(A62,Empleados!A:I,8,FALSE),""))</f>
        <v/>
      </c>
      <c r="E62" s="7" t="n"/>
      <c r="F62" s="8" t="n"/>
      <c r="G62" s="8" t="n"/>
      <c r="H62" s="9">
        <f>IF(OR(F62="",G62=""),"",G62-F62+1)</f>
        <v/>
      </c>
      <c r="I62" s="7">
        <f>IF(A62="","","PENDIENTE")</f>
        <v/>
      </c>
      <c r="J62" s="7" t="n"/>
      <c r="K62" s="7">
        <f>IF(A62="","",A62&amp;"|"&amp;TEXT(F62,"yyyymmdd")&amp;"|"&amp;TEXT(G62,"yyyymmdd"))</f>
        <v/>
      </c>
    </row>
    <row r="63">
      <c r="A63" s="7" t="n"/>
      <c r="B63" s="7">
        <f>IF(A63="","",IFERROR(VLOOKUP(A63,Empleados!A:B,2,FALSE),""))</f>
        <v/>
      </c>
      <c r="C63" s="7">
        <f>IF(A63="","",IFERROR(VLOOKUP(A63,Empleados!A:J,9,FALSE),""))</f>
        <v/>
      </c>
      <c r="D63" s="7">
        <f>IF(A63="","",IFERROR(VLOOKUP(A63,Empleados!A:I,8,FALSE),""))</f>
        <v/>
      </c>
      <c r="E63" s="7" t="n"/>
      <c r="F63" s="8" t="n"/>
      <c r="G63" s="8" t="n"/>
      <c r="H63" s="9">
        <f>IF(OR(F63="",G63=""),"",G63-F63+1)</f>
        <v/>
      </c>
      <c r="I63" s="7">
        <f>IF(A63="","","PENDIENTE")</f>
        <v/>
      </c>
      <c r="J63" s="7" t="n"/>
      <c r="K63" s="7">
        <f>IF(A63="","",A63&amp;"|"&amp;TEXT(F63,"yyyymmdd")&amp;"|"&amp;TEXT(G63,"yyyymmdd"))</f>
        <v/>
      </c>
    </row>
    <row r="64">
      <c r="A64" s="7" t="n"/>
      <c r="B64" s="7">
        <f>IF(A64="","",IFERROR(VLOOKUP(A64,Empleados!A:B,2,FALSE),""))</f>
        <v/>
      </c>
      <c r="C64" s="7">
        <f>IF(A64="","",IFERROR(VLOOKUP(A64,Empleados!A:J,9,FALSE),""))</f>
        <v/>
      </c>
      <c r="D64" s="7">
        <f>IF(A64="","",IFERROR(VLOOKUP(A64,Empleados!A:I,8,FALSE),""))</f>
        <v/>
      </c>
      <c r="E64" s="7" t="n"/>
      <c r="F64" s="8" t="n"/>
      <c r="G64" s="8" t="n"/>
      <c r="H64" s="9">
        <f>IF(OR(F64="",G64=""),"",G64-F64+1)</f>
        <v/>
      </c>
      <c r="I64" s="7">
        <f>IF(A64="","","PENDIENTE")</f>
        <v/>
      </c>
      <c r="J64" s="7" t="n"/>
      <c r="K64" s="7">
        <f>IF(A64="","",A64&amp;"|"&amp;TEXT(F64,"yyyymmdd")&amp;"|"&amp;TEXT(G64,"yyyymmdd"))</f>
        <v/>
      </c>
    </row>
    <row r="65">
      <c r="A65" s="7" t="n"/>
      <c r="B65" s="7">
        <f>IF(A65="","",IFERROR(VLOOKUP(A65,Empleados!A:B,2,FALSE),""))</f>
        <v/>
      </c>
      <c r="C65" s="7">
        <f>IF(A65="","",IFERROR(VLOOKUP(A65,Empleados!A:J,9,FALSE),""))</f>
        <v/>
      </c>
      <c r="D65" s="7">
        <f>IF(A65="","",IFERROR(VLOOKUP(A65,Empleados!A:I,8,FALSE),""))</f>
        <v/>
      </c>
      <c r="E65" s="7" t="n"/>
      <c r="F65" s="8" t="n"/>
      <c r="G65" s="8" t="n"/>
      <c r="H65" s="9">
        <f>IF(OR(F65="",G65=""),"",G65-F65+1)</f>
        <v/>
      </c>
      <c r="I65" s="7">
        <f>IF(A65="","","PENDIENTE")</f>
        <v/>
      </c>
      <c r="J65" s="7" t="n"/>
      <c r="K65" s="7">
        <f>IF(A65="","",A65&amp;"|"&amp;TEXT(F65,"yyyymmdd")&amp;"|"&amp;TEXT(G65,"yyyymmdd"))</f>
        <v/>
      </c>
    </row>
    <row r="66">
      <c r="A66" s="7" t="n"/>
      <c r="B66" s="7">
        <f>IF(A66="","",IFERROR(VLOOKUP(A66,Empleados!A:B,2,FALSE),""))</f>
        <v/>
      </c>
      <c r="C66" s="7">
        <f>IF(A66="","",IFERROR(VLOOKUP(A66,Empleados!A:J,9,FALSE),""))</f>
        <v/>
      </c>
      <c r="D66" s="7">
        <f>IF(A66="","",IFERROR(VLOOKUP(A66,Empleados!A:I,8,FALSE),""))</f>
        <v/>
      </c>
      <c r="E66" s="7" t="n"/>
      <c r="F66" s="8" t="n"/>
      <c r="G66" s="8" t="n"/>
      <c r="H66" s="9">
        <f>IF(OR(F66="",G66=""),"",G66-F66+1)</f>
        <v/>
      </c>
      <c r="I66" s="7">
        <f>IF(A66="","","PENDIENTE")</f>
        <v/>
      </c>
      <c r="J66" s="7" t="n"/>
      <c r="K66" s="7">
        <f>IF(A66="","",A66&amp;"|"&amp;TEXT(F66,"yyyymmdd")&amp;"|"&amp;TEXT(G66,"yyyymmdd"))</f>
        <v/>
      </c>
    </row>
    <row r="67">
      <c r="A67" s="7" t="n"/>
      <c r="B67" s="7">
        <f>IF(A67="","",IFERROR(VLOOKUP(A67,Empleados!A:B,2,FALSE),""))</f>
        <v/>
      </c>
      <c r="C67" s="7">
        <f>IF(A67="","",IFERROR(VLOOKUP(A67,Empleados!A:J,9,FALSE),""))</f>
        <v/>
      </c>
      <c r="D67" s="7">
        <f>IF(A67="","",IFERROR(VLOOKUP(A67,Empleados!A:I,8,FALSE),""))</f>
        <v/>
      </c>
      <c r="E67" s="7" t="n"/>
      <c r="F67" s="8" t="n"/>
      <c r="G67" s="8" t="n"/>
      <c r="H67" s="9">
        <f>IF(OR(F67="",G67=""),"",G67-F67+1)</f>
        <v/>
      </c>
      <c r="I67" s="7">
        <f>IF(A67="","","PENDIENTE")</f>
        <v/>
      </c>
      <c r="J67" s="7" t="n"/>
      <c r="K67" s="7">
        <f>IF(A67="","",A67&amp;"|"&amp;TEXT(F67,"yyyymmdd")&amp;"|"&amp;TEXT(G67,"yyyymmdd"))</f>
        <v/>
      </c>
    </row>
    <row r="68">
      <c r="A68" s="7" t="n"/>
      <c r="B68" s="7">
        <f>IF(A68="","",IFERROR(VLOOKUP(A68,Empleados!A:B,2,FALSE),""))</f>
        <v/>
      </c>
      <c r="C68" s="7">
        <f>IF(A68="","",IFERROR(VLOOKUP(A68,Empleados!A:J,9,FALSE),""))</f>
        <v/>
      </c>
      <c r="D68" s="7">
        <f>IF(A68="","",IFERROR(VLOOKUP(A68,Empleados!A:I,8,FALSE),""))</f>
        <v/>
      </c>
      <c r="E68" s="7" t="n"/>
      <c r="F68" s="8" t="n"/>
      <c r="G68" s="8" t="n"/>
      <c r="H68" s="9">
        <f>IF(OR(F68="",G68=""),"",G68-F68+1)</f>
        <v/>
      </c>
      <c r="I68" s="7">
        <f>IF(A68="","","PENDIENTE")</f>
        <v/>
      </c>
      <c r="J68" s="7" t="n"/>
      <c r="K68" s="7">
        <f>IF(A68="","",A68&amp;"|"&amp;TEXT(F68,"yyyymmdd")&amp;"|"&amp;TEXT(G68,"yyyymmdd"))</f>
        <v/>
      </c>
    </row>
    <row r="69">
      <c r="A69" s="7" t="n"/>
      <c r="B69" s="7">
        <f>IF(A69="","",IFERROR(VLOOKUP(A69,Empleados!A:B,2,FALSE),""))</f>
        <v/>
      </c>
      <c r="C69" s="7">
        <f>IF(A69="","",IFERROR(VLOOKUP(A69,Empleados!A:J,9,FALSE),""))</f>
        <v/>
      </c>
      <c r="D69" s="7">
        <f>IF(A69="","",IFERROR(VLOOKUP(A69,Empleados!A:I,8,FALSE),""))</f>
        <v/>
      </c>
      <c r="E69" s="7" t="n"/>
      <c r="F69" s="8" t="n"/>
      <c r="G69" s="8" t="n"/>
      <c r="H69" s="9">
        <f>IF(OR(F69="",G69=""),"",G69-F69+1)</f>
        <v/>
      </c>
      <c r="I69" s="7">
        <f>IF(A69="","","PENDIENTE")</f>
        <v/>
      </c>
      <c r="J69" s="7" t="n"/>
      <c r="K69" s="7">
        <f>IF(A69="","",A69&amp;"|"&amp;TEXT(F69,"yyyymmdd")&amp;"|"&amp;TEXT(G69,"yyyymmdd"))</f>
        <v/>
      </c>
    </row>
    <row r="70">
      <c r="A70" s="7" t="n"/>
      <c r="B70" s="7">
        <f>IF(A70="","",IFERROR(VLOOKUP(A70,Empleados!A:B,2,FALSE),""))</f>
        <v/>
      </c>
      <c r="C70" s="7">
        <f>IF(A70="","",IFERROR(VLOOKUP(A70,Empleados!A:J,9,FALSE),""))</f>
        <v/>
      </c>
      <c r="D70" s="7">
        <f>IF(A70="","",IFERROR(VLOOKUP(A70,Empleados!A:I,8,FALSE),""))</f>
        <v/>
      </c>
      <c r="E70" s="7" t="n"/>
      <c r="F70" s="8" t="n"/>
      <c r="G70" s="8" t="n"/>
      <c r="H70" s="9">
        <f>IF(OR(F70="",G70=""),"",G70-F70+1)</f>
        <v/>
      </c>
      <c r="I70" s="7">
        <f>IF(A70="","","PENDIENTE")</f>
        <v/>
      </c>
      <c r="J70" s="7" t="n"/>
      <c r="K70" s="7">
        <f>IF(A70="","",A70&amp;"|"&amp;TEXT(F70,"yyyymmdd")&amp;"|"&amp;TEXT(G70,"yyyymmdd"))</f>
        <v/>
      </c>
    </row>
    <row r="71">
      <c r="A71" s="7" t="n"/>
      <c r="B71" s="7">
        <f>IF(A71="","",IFERROR(VLOOKUP(A71,Empleados!A:B,2,FALSE),""))</f>
        <v/>
      </c>
      <c r="C71" s="7">
        <f>IF(A71="","",IFERROR(VLOOKUP(A71,Empleados!A:J,9,FALSE),""))</f>
        <v/>
      </c>
      <c r="D71" s="7">
        <f>IF(A71="","",IFERROR(VLOOKUP(A71,Empleados!A:I,8,FALSE),""))</f>
        <v/>
      </c>
      <c r="E71" s="7" t="n"/>
      <c r="F71" s="8" t="n"/>
      <c r="G71" s="8" t="n"/>
      <c r="H71" s="9">
        <f>IF(OR(F71="",G71=""),"",G71-F71+1)</f>
        <v/>
      </c>
      <c r="I71" s="7">
        <f>IF(A71="","","PENDIENTE")</f>
        <v/>
      </c>
      <c r="J71" s="7" t="n"/>
      <c r="K71" s="7">
        <f>IF(A71="","",A71&amp;"|"&amp;TEXT(F71,"yyyymmdd")&amp;"|"&amp;TEXT(G71,"yyyymmdd"))</f>
        <v/>
      </c>
    </row>
    <row r="72">
      <c r="A72" s="7" t="n"/>
      <c r="B72" s="7">
        <f>IF(A72="","",IFERROR(VLOOKUP(A72,Empleados!A:B,2,FALSE),""))</f>
        <v/>
      </c>
      <c r="C72" s="7">
        <f>IF(A72="","",IFERROR(VLOOKUP(A72,Empleados!A:J,9,FALSE),""))</f>
        <v/>
      </c>
      <c r="D72" s="7">
        <f>IF(A72="","",IFERROR(VLOOKUP(A72,Empleados!A:I,8,FALSE),""))</f>
        <v/>
      </c>
      <c r="E72" s="7" t="n"/>
      <c r="F72" s="8" t="n"/>
      <c r="G72" s="8" t="n"/>
      <c r="H72" s="9">
        <f>IF(OR(F72="",G72=""),"",G72-F72+1)</f>
        <v/>
      </c>
      <c r="I72" s="7">
        <f>IF(A72="","","PENDIENTE")</f>
        <v/>
      </c>
      <c r="J72" s="7" t="n"/>
      <c r="K72" s="7">
        <f>IF(A72="","",A72&amp;"|"&amp;TEXT(F72,"yyyymmdd")&amp;"|"&amp;TEXT(G72,"yyyymmdd"))</f>
        <v/>
      </c>
    </row>
    <row r="73">
      <c r="A73" s="7" t="n"/>
      <c r="B73" s="7">
        <f>IF(A73="","",IFERROR(VLOOKUP(A73,Empleados!A:B,2,FALSE),""))</f>
        <v/>
      </c>
      <c r="C73" s="7">
        <f>IF(A73="","",IFERROR(VLOOKUP(A73,Empleados!A:J,9,FALSE),""))</f>
        <v/>
      </c>
      <c r="D73" s="7">
        <f>IF(A73="","",IFERROR(VLOOKUP(A73,Empleados!A:I,8,FALSE),""))</f>
        <v/>
      </c>
      <c r="E73" s="7" t="n"/>
      <c r="F73" s="8" t="n"/>
      <c r="G73" s="8" t="n"/>
      <c r="H73" s="9">
        <f>IF(OR(F73="",G73=""),"",G73-F73+1)</f>
        <v/>
      </c>
      <c r="I73" s="7">
        <f>IF(A73="","","PENDIENTE")</f>
        <v/>
      </c>
      <c r="J73" s="7" t="n"/>
      <c r="K73" s="7">
        <f>IF(A73="","",A73&amp;"|"&amp;TEXT(F73,"yyyymmdd")&amp;"|"&amp;TEXT(G73,"yyyymmdd"))</f>
        <v/>
      </c>
    </row>
    <row r="74">
      <c r="A74" s="7" t="n"/>
      <c r="B74" s="7">
        <f>IF(A74="","",IFERROR(VLOOKUP(A74,Empleados!A:B,2,FALSE),""))</f>
        <v/>
      </c>
      <c r="C74" s="7">
        <f>IF(A74="","",IFERROR(VLOOKUP(A74,Empleados!A:J,9,FALSE),""))</f>
        <v/>
      </c>
      <c r="D74" s="7">
        <f>IF(A74="","",IFERROR(VLOOKUP(A74,Empleados!A:I,8,FALSE),""))</f>
        <v/>
      </c>
      <c r="E74" s="7" t="n"/>
      <c r="F74" s="8" t="n"/>
      <c r="G74" s="8" t="n"/>
      <c r="H74" s="9">
        <f>IF(OR(F74="",G74=""),"",G74-F74+1)</f>
        <v/>
      </c>
      <c r="I74" s="7">
        <f>IF(A74="","","PENDIENTE")</f>
        <v/>
      </c>
      <c r="J74" s="7" t="n"/>
      <c r="K74" s="7">
        <f>IF(A74="","",A74&amp;"|"&amp;TEXT(F74,"yyyymmdd")&amp;"|"&amp;TEXT(G74,"yyyymmdd"))</f>
        <v/>
      </c>
    </row>
    <row r="75">
      <c r="A75" s="7" t="n"/>
      <c r="B75" s="7">
        <f>IF(A75="","",IFERROR(VLOOKUP(A75,Empleados!A:B,2,FALSE),""))</f>
        <v/>
      </c>
      <c r="C75" s="7">
        <f>IF(A75="","",IFERROR(VLOOKUP(A75,Empleados!A:J,9,FALSE),""))</f>
        <v/>
      </c>
      <c r="D75" s="7">
        <f>IF(A75="","",IFERROR(VLOOKUP(A75,Empleados!A:I,8,FALSE),""))</f>
        <v/>
      </c>
      <c r="E75" s="7" t="n"/>
      <c r="F75" s="8" t="n"/>
      <c r="G75" s="8" t="n"/>
      <c r="H75" s="9">
        <f>IF(OR(F75="",G75=""),"",G75-F75+1)</f>
        <v/>
      </c>
      <c r="I75" s="7">
        <f>IF(A75="","","PENDIENTE")</f>
        <v/>
      </c>
      <c r="J75" s="7" t="n"/>
      <c r="K75" s="7">
        <f>IF(A75="","",A75&amp;"|"&amp;TEXT(F75,"yyyymmdd")&amp;"|"&amp;TEXT(G75,"yyyymmdd"))</f>
        <v/>
      </c>
    </row>
    <row r="76">
      <c r="A76" s="7" t="n"/>
      <c r="B76" s="7">
        <f>IF(A76="","",IFERROR(VLOOKUP(A76,Empleados!A:B,2,FALSE),""))</f>
        <v/>
      </c>
      <c r="C76" s="7">
        <f>IF(A76="","",IFERROR(VLOOKUP(A76,Empleados!A:J,9,FALSE),""))</f>
        <v/>
      </c>
      <c r="D76" s="7">
        <f>IF(A76="","",IFERROR(VLOOKUP(A76,Empleados!A:I,8,FALSE),""))</f>
        <v/>
      </c>
      <c r="E76" s="7" t="n"/>
      <c r="F76" s="8" t="n"/>
      <c r="G76" s="8" t="n"/>
      <c r="H76" s="9">
        <f>IF(OR(F76="",G76=""),"",G76-F76+1)</f>
        <v/>
      </c>
      <c r="I76" s="7">
        <f>IF(A76="","","PENDIENTE")</f>
        <v/>
      </c>
      <c r="J76" s="7" t="n"/>
      <c r="K76" s="7">
        <f>IF(A76="","",A76&amp;"|"&amp;TEXT(F76,"yyyymmdd")&amp;"|"&amp;TEXT(G76,"yyyymmdd"))</f>
        <v/>
      </c>
    </row>
    <row r="77">
      <c r="A77" s="7" t="n"/>
      <c r="B77" s="7">
        <f>IF(A77="","",IFERROR(VLOOKUP(A77,Empleados!A:B,2,FALSE),""))</f>
        <v/>
      </c>
      <c r="C77" s="7">
        <f>IF(A77="","",IFERROR(VLOOKUP(A77,Empleados!A:J,9,FALSE),""))</f>
        <v/>
      </c>
      <c r="D77" s="7">
        <f>IF(A77="","",IFERROR(VLOOKUP(A77,Empleados!A:I,8,FALSE),""))</f>
        <v/>
      </c>
      <c r="E77" s="7" t="n"/>
      <c r="F77" s="8" t="n"/>
      <c r="G77" s="8" t="n"/>
      <c r="H77" s="9">
        <f>IF(OR(F77="",G77=""),"",G77-F77+1)</f>
        <v/>
      </c>
      <c r="I77" s="7">
        <f>IF(A77="","","PENDIENTE")</f>
        <v/>
      </c>
      <c r="J77" s="7" t="n"/>
      <c r="K77" s="7">
        <f>IF(A77="","",A77&amp;"|"&amp;TEXT(F77,"yyyymmdd")&amp;"|"&amp;TEXT(G77,"yyyymmdd"))</f>
        <v/>
      </c>
    </row>
    <row r="78">
      <c r="A78" s="7" t="n"/>
      <c r="B78" s="7">
        <f>IF(A78="","",IFERROR(VLOOKUP(A78,Empleados!A:B,2,FALSE),""))</f>
        <v/>
      </c>
      <c r="C78" s="7">
        <f>IF(A78="","",IFERROR(VLOOKUP(A78,Empleados!A:J,9,FALSE),""))</f>
        <v/>
      </c>
      <c r="D78" s="7">
        <f>IF(A78="","",IFERROR(VLOOKUP(A78,Empleados!A:I,8,FALSE),""))</f>
        <v/>
      </c>
      <c r="E78" s="7" t="n"/>
      <c r="F78" s="8" t="n"/>
      <c r="G78" s="8" t="n"/>
      <c r="H78" s="9">
        <f>IF(OR(F78="",G78=""),"",G78-F78+1)</f>
        <v/>
      </c>
      <c r="I78" s="7">
        <f>IF(A78="","","PENDIENTE")</f>
        <v/>
      </c>
      <c r="J78" s="7" t="n"/>
      <c r="K78" s="7">
        <f>IF(A78="","",A78&amp;"|"&amp;TEXT(F78,"yyyymmdd")&amp;"|"&amp;TEXT(G78,"yyyymmdd"))</f>
        <v/>
      </c>
    </row>
    <row r="79">
      <c r="A79" s="7" t="n"/>
      <c r="B79" s="7">
        <f>IF(A79="","",IFERROR(VLOOKUP(A79,Empleados!A:B,2,FALSE),""))</f>
        <v/>
      </c>
      <c r="C79" s="7">
        <f>IF(A79="","",IFERROR(VLOOKUP(A79,Empleados!A:J,9,FALSE),""))</f>
        <v/>
      </c>
      <c r="D79" s="7">
        <f>IF(A79="","",IFERROR(VLOOKUP(A79,Empleados!A:I,8,FALSE),""))</f>
        <v/>
      </c>
      <c r="E79" s="7" t="n"/>
      <c r="F79" s="8" t="n"/>
      <c r="G79" s="8" t="n"/>
      <c r="H79" s="9">
        <f>IF(OR(F79="",G79=""),"",G79-F79+1)</f>
        <v/>
      </c>
      <c r="I79" s="7">
        <f>IF(A79="","","PENDIENTE")</f>
        <v/>
      </c>
      <c r="J79" s="7" t="n"/>
      <c r="K79" s="7">
        <f>IF(A79="","",A79&amp;"|"&amp;TEXT(F79,"yyyymmdd")&amp;"|"&amp;TEXT(G79,"yyyymmdd"))</f>
        <v/>
      </c>
    </row>
    <row r="80">
      <c r="A80" s="7" t="n"/>
      <c r="B80" s="7">
        <f>IF(A80="","",IFERROR(VLOOKUP(A80,Empleados!A:B,2,FALSE),""))</f>
        <v/>
      </c>
      <c r="C80" s="7">
        <f>IF(A80="","",IFERROR(VLOOKUP(A80,Empleados!A:J,9,FALSE),""))</f>
        <v/>
      </c>
      <c r="D80" s="7">
        <f>IF(A80="","",IFERROR(VLOOKUP(A80,Empleados!A:I,8,FALSE),""))</f>
        <v/>
      </c>
      <c r="E80" s="7" t="n"/>
      <c r="F80" s="8" t="n"/>
      <c r="G80" s="8" t="n"/>
      <c r="H80" s="9">
        <f>IF(OR(F80="",G80=""),"",G80-F80+1)</f>
        <v/>
      </c>
      <c r="I80" s="7">
        <f>IF(A80="","","PENDIENTE")</f>
        <v/>
      </c>
      <c r="J80" s="7" t="n"/>
      <c r="K80" s="7">
        <f>IF(A80="","",A80&amp;"|"&amp;TEXT(F80,"yyyymmdd")&amp;"|"&amp;TEXT(G80,"yyyymmdd"))</f>
        <v/>
      </c>
    </row>
    <row r="81">
      <c r="A81" s="7" t="n"/>
      <c r="B81" s="7">
        <f>IF(A81="","",IFERROR(VLOOKUP(A81,Empleados!A:B,2,FALSE),""))</f>
        <v/>
      </c>
      <c r="C81" s="7">
        <f>IF(A81="","",IFERROR(VLOOKUP(A81,Empleados!A:J,9,FALSE),""))</f>
        <v/>
      </c>
      <c r="D81" s="7">
        <f>IF(A81="","",IFERROR(VLOOKUP(A81,Empleados!A:I,8,FALSE),""))</f>
        <v/>
      </c>
      <c r="E81" s="7" t="n"/>
      <c r="F81" s="8" t="n"/>
      <c r="G81" s="8" t="n"/>
      <c r="H81" s="9">
        <f>IF(OR(F81="",G81=""),"",G81-F81+1)</f>
        <v/>
      </c>
      <c r="I81" s="7">
        <f>IF(A81="","","PENDIENTE")</f>
        <v/>
      </c>
      <c r="J81" s="7" t="n"/>
      <c r="K81" s="7">
        <f>IF(A81="","",A81&amp;"|"&amp;TEXT(F81,"yyyymmdd")&amp;"|"&amp;TEXT(G81,"yyyymmdd"))</f>
        <v/>
      </c>
    </row>
    <row r="82">
      <c r="A82" s="7" t="n"/>
      <c r="B82" s="7">
        <f>IF(A82="","",IFERROR(VLOOKUP(A82,Empleados!A:B,2,FALSE),""))</f>
        <v/>
      </c>
      <c r="C82" s="7">
        <f>IF(A82="","",IFERROR(VLOOKUP(A82,Empleados!A:J,9,FALSE),""))</f>
        <v/>
      </c>
      <c r="D82" s="7">
        <f>IF(A82="","",IFERROR(VLOOKUP(A82,Empleados!A:I,8,FALSE),""))</f>
        <v/>
      </c>
      <c r="E82" s="7" t="n"/>
      <c r="F82" s="8" t="n"/>
      <c r="G82" s="8" t="n"/>
      <c r="H82" s="9">
        <f>IF(OR(F82="",G82=""),"",G82-F82+1)</f>
        <v/>
      </c>
      <c r="I82" s="7">
        <f>IF(A82="","","PENDIENTE")</f>
        <v/>
      </c>
      <c r="J82" s="7" t="n"/>
      <c r="K82" s="7">
        <f>IF(A82="","",A82&amp;"|"&amp;TEXT(F82,"yyyymmdd")&amp;"|"&amp;TEXT(G82,"yyyymmdd"))</f>
        <v/>
      </c>
    </row>
    <row r="83">
      <c r="A83" s="7" t="n"/>
      <c r="B83" s="7">
        <f>IF(A83="","",IFERROR(VLOOKUP(A83,Empleados!A:B,2,FALSE),""))</f>
        <v/>
      </c>
      <c r="C83" s="7">
        <f>IF(A83="","",IFERROR(VLOOKUP(A83,Empleados!A:J,9,FALSE),""))</f>
        <v/>
      </c>
      <c r="D83" s="7">
        <f>IF(A83="","",IFERROR(VLOOKUP(A83,Empleados!A:I,8,FALSE),""))</f>
        <v/>
      </c>
      <c r="E83" s="7" t="n"/>
      <c r="F83" s="8" t="n"/>
      <c r="G83" s="8" t="n"/>
      <c r="H83" s="9">
        <f>IF(OR(F83="",G83=""),"",G83-F83+1)</f>
        <v/>
      </c>
      <c r="I83" s="7">
        <f>IF(A83="","","PENDIENTE")</f>
        <v/>
      </c>
      <c r="J83" s="7" t="n"/>
      <c r="K83" s="7">
        <f>IF(A83="","",A83&amp;"|"&amp;TEXT(F83,"yyyymmdd")&amp;"|"&amp;TEXT(G83,"yyyymmdd"))</f>
        <v/>
      </c>
    </row>
    <row r="84">
      <c r="A84" s="7" t="n"/>
      <c r="B84" s="7">
        <f>IF(A84="","",IFERROR(VLOOKUP(A84,Empleados!A:B,2,FALSE),""))</f>
        <v/>
      </c>
      <c r="C84" s="7">
        <f>IF(A84="","",IFERROR(VLOOKUP(A84,Empleados!A:J,9,FALSE),""))</f>
        <v/>
      </c>
      <c r="D84" s="7">
        <f>IF(A84="","",IFERROR(VLOOKUP(A84,Empleados!A:I,8,FALSE),""))</f>
        <v/>
      </c>
      <c r="E84" s="7" t="n"/>
      <c r="F84" s="8" t="n"/>
      <c r="G84" s="8" t="n"/>
      <c r="H84" s="9">
        <f>IF(OR(F84="",G84=""),"",G84-F84+1)</f>
        <v/>
      </c>
      <c r="I84" s="7">
        <f>IF(A84="","","PENDIENTE")</f>
        <v/>
      </c>
      <c r="J84" s="7" t="n"/>
      <c r="K84" s="7">
        <f>IF(A84="","",A84&amp;"|"&amp;TEXT(F84,"yyyymmdd")&amp;"|"&amp;TEXT(G84,"yyyymmdd"))</f>
        <v/>
      </c>
    </row>
    <row r="85">
      <c r="A85" s="7" t="n"/>
      <c r="B85" s="7">
        <f>IF(A85="","",IFERROR(VLOOKUP(A85,Empleados!A:B,2,FALSE),""))</f>
        <v/>
      </c>
      <c r="C85" s="7">
        <f>IF(A85="","",IFERROR(VLOOKUP(A85,Empleados!A:J,9,FALSE),""))</f>
        <v/>
      </c>
      <c r="D85" s="7">
        <f>IF(A85="","",IFERROR(VLOOKUP(A85,Empleados!A:I,8,FALSE),""))</f>
        <v/>
      </c>
      <c r="E85" s="7" t="n"/>
      <c r="F85" s="8" t="n"/>
      <c r="G85" s="8" t="n"/>
      <c r="H85" s="9">
        <f>IF(OR(F85="",G85=""),"",G85-F85+1)</f>
        <v/>
      </c>
      <c r="I85" s="7">
        <f>IF(A85="","","PENDIENTE")</f>
        <v/>
      </c>
      <c r="J85" s="7" t="n"/>
      <c r="K85" s="7">
        <f>IF(A85="","",A85&amp;"|"&amp;TEXT(F85,"yyyymmdd")&amp;"|"&amp;TEXT(G85,"yyyymmdd"))</f>
        <v/>
      </c>
    </row>
    <row r="86">
      <c r="A86" s="7" t="n"/>
      <c r="B86" s="7">
        <f>IF(A86="","",IFERROR(VLOOKUP(A86,Empleados!A:B,2,FALSE),""))</f>
        <v/>
      </c>
      <c r="C86" s="7">
        <f>IF(A86="","",IFERROR(VLOOKUP(A86,Empleados!A:J,9,FALSE),""))</f>
        <v/>
      </c>
      <c r="D86" s="7">
        <f>IF(A86="","",IFERROR(VLOOKUP(A86,Empleados!A:I,8,FALSE),""))</f>
        <v/>
      </c>
      <c r="E86" s="7" t="n"/>
      <c r="F86" s="8" t="n"/>
      <c r="G86" s="8" t="n"/>
      <c r="H86" s="9">
        <f>IF(OR(F86="",G86=""),"",G86-F86+1)</f>
        <v/>
      </c>
      <c r="I86" s="7">
        <f>IF(A86="","","PENDIENTE")</f>
        <v/>
      </c>
      <c r="J86" s="7" t="n"/>
      <c r="K86" s="7">
        <f>IF(A86="","",A86&amp;"|"&amp;TEXT(F86,"yyyymmdd")&amp;"|"&amp;TEXT(G86,"yyyymmdd"))</f>
        <v/>
      </c>
    </row>
    <row r="87">
      <c r="A87" s="7" t="n"/>
      <c r="B87" s="7">
        <f>IF(A87="","",IFERROR(VLOOKUP(A87,Empleados!A:B,2,FALSE),""))</f>
        <v/>
      </c>
      <c r="C87" s="7">
        <f>IF(A87="","",IFERROR(VLOOKUP(A87,Empleados!A:J,9,FALSE),""))</f>
        <v/>
      </c>
      <c r="D87" s="7">
        <f>IF(A87="","",IFERROR(VLOOKUP(A87,Empleados!A:I,8,FALSE),""))</f>
        <v/>
      </c>
      <c r="E87" s="7" t="n"/>
      <c r="F87" s="8" t="n"/>
      <c r="G87" s="8" t="n"/>
      <c r="H87" s="9">
        <f>IF(OR(F87="",G87=""),"",G87-F87+1)</f>
        <v/>
      </c>
      <c r="I87" s="7">
        <f>IF(A87="","","PENDIENTE")</f>
        <v/>
      </c>
      <c r="J87" s="7" t="n"/>
      <c r="K87" s="7">
        <f>IF(A87="","",A87&amp;"|"&amp;TEXT(F87,"yyyymmdd")&amp;"|"&amp;TEXT(G87,"yyyymmdd"))</f>
        <v/>
      </c>
    </row>
    <row r="88">
      <c r="A88" s="7" t="n"/>
      <c r="B88" s="7">
        <f>IF(A88="","",IFERROR(VLOOKUP(A88,Empleados!A:B,2,FALSE),""))</f>
        <v/>
      </c>
      <c r="C88" s="7">
        <f>IF(A88="","",IFERROR(VLOOKUP(A88,Empleados!A:J,9,FALSE),""))</f>
        <v/>
      </c>
      <c r="D88" s="7">
        <f>IF(A88="","",IFERROR(VLOOKUP(A88,Empleados!A:I,8,FALSE),""))</f>
        <v/>
      </c>
      <c r="E88" s="7" t="n"/>
      <c r="F88" s="8" t="n"/>
      <c r="G88" s="8" t="n"/>
      <c r="H88" s="9">
        <f>IF(OR(F88="",G88=""),"",G88-F88+1)</f>
        <v/>
      </c>
      <c r="I88" s="7">
        <f>IF(A88="","","PENDIENTE")</f>
        <v/>
      </c>
      <c r="J88" s="7" t="n"/>
      <c r="K88" s="7">
        <f>IF(A88="","",A88&amp;"|"&amp;TEXT(F88,"yyyymmdd")&amp;"|"&amp;TEXT(G88,"yyyymmdd"))</f>
        <v/>
      </c>
    </row>
    <row r="89">
      <c r="A89" s="7" t="n"/>
      <c r="B89" s="7">
        <f>IF(A89="","",IFERROR(VLOOKUP(A89,Empleados!A:B,2,FALSE),""))</f>
        <v/>
      </c>
      <c r="C89" s="7">
        <f>IF(A89="","",IFERROR(VLOOKUP(A89,Empleados!A:J,9,FALSE),""))</f>
        <v/>
      </c>
      <c r="D89" s="7">
        <f>IF(A89="","",IFERROR(VLOOKUP(A89,Empleados!A:I,8,FALSE),""))</f>
        <v/>
      </c>
      <c r="E89" s="7" t="n"/>
      <c r="F89" s="8" t="n"/>
      <c r="G89" s="8" t="n"/>
      <c r="H89" s="9">
        <f>IF(OR(F89="",G89=""),"",G89-F89+1)</f>
        <v/>
      </c>
      <c r="I89" s="7">
        <f>IF(A89="","","PENDIENTE")</f>
        <v/>
      </c>
      <c r="J89" s="7" t="n"/>
      <c r="K89" s="7">
        <f>IF(A89="","",A89&amp;"|"&amp;TEXT(F89,"yyyymmdd")&amp;"|"&amp;TEXT(G89,"yyyymmdd"))</f>
        <v/>
      </c>
    </row>
    <row r="90">
      <c r="A90" s="7" t="n"/>
      <c r="B90" s="7">
        <f>IF(A90="","",IFERROR(VLOOKUP(A90,Empleados!A:B,2,FALSE),""))</f>
        <v/>
      </c>
      <c r="C90" s="7">
        <f>IF(A90="","",IFERROR(VLOOKUP(A90,Empleados!A:J,9,FALSE),""))</f>
        <v/>
      </c>
      <c r="D90" s="7">
        <f>IF(A90="","",IFERROR(VLOOKUP(A90,Empleados!A:I,8,FALSE),""))</f>
        <v/>
      </c>
      <c r="E90" s="7" t="n"/>
      <c r="F90" s="8" t="n"/>
      <c r="G90" s="8" t="n"/>
      <c r="H90" s="9">
        <f>IF(OR(F90="",G90=""),"",G90-F90+1)</f>
        <v/>
      </c>
      <c r="I90" s="7">
        <f>IF(A90="","","PENDIENTE")</f>
        <v/>
      </c>
      <c r="J90" s="7" t="n"/>
      <c r="K90" s="7">
        <f>IF(A90="","",A90&amp;"|"&amp;TEXT(F90,"yyyymmdd")&amp;"|"&amp;TEXT(G90,"yyyymmdd"))</f>
        <v/>
      </c>
    </row>
    <row r="91">
      <c r="A91" s="7" t="n"/>
      <c r="B91" s="7">
        <f>IF(A91="","",IFERROR(VLOOKUP(A91,Empleados!A:B,2,FALSE),""))</f>
        <v/>
      </c>
      <c r="C91" s="7">
        <f>IF(A91="","",IFERROR(VLOOKUP(A91,Empleados!A:J,9,FALSE),""))</f>
        <v/>
      </c>
      <c r="D91" s="7">
        <f>IF(A91="","",IFERROR(VLOOKUP(A91,Empleados!A:I,8,FALSE),""))</f>
        <v/>
      </c>
      <c r="E91" s="7" t="n"/>
      <c r="F91" s="8" t="n"/>
      <c r="G91" s="8" t="n"/>
      <c r="H91" s="9">
        <f>IF(OR(F91="",G91=""),"",G91-F91+1)</f>
        <v/>
      </c>
      <c r="I91" s="7">
        <f>IF(A91="","","PENDIENTE")</f>
        <v/>
      </c>
      <c r="J91" s="7" t="n"/>
      <c r="K91" s="7">
        <f>IF(A91="","",A91&amp;"|"&amp;TEXT(F91,"yyyymmdd")&amp;"|"&amp;TEXT(G91,"yyyymmdd"))</f>
        <v/>
      </c>
    </row>
    <row r="92">
      <c r="A92" s="7" t="n"/>
      <c r="B92" s="7">
        <f>IF(A92="","",IFERROR(VLOOKUP(A92,Empleados!A:B,2,FALSE),""))</f>
        <v/>
      </c>
      <c r="C92" s="7">
        <f>IF(A92="","",IFERROR(VLOOKUP(A92,Empleados!A:J,9,FALSE),""))</f>
        <v/>
      </c>
      <c r="D92" s="7">
        <f>IF(A92="","",IFERROR(VLOOKUP(A92,Empleados!A:I,8,FALSE),""))</f>
        <v/>
      </c>
      <c r="E92" s="7" t="n"/>
      <c r="F92" s="8" t="n"/>
      <c r="G92" s="8" t="n"/>
      <c r="H92" s="9">
        <f>IF(OR(F92="",G92=""),"",G92-F92+1)</f>
        <v/>
      </c>
      <c r="I92" s="7">
        <f>IF(A92="","","PENDIENTE")</f>
        <v/>
      </c>
      <c r="J92" s="7" t="n"/>
      <c r="K92" s="7">
        <f>IF(A92="","",A92&amp;"|"&amp;TEXT(F92,"yyyymmdd")&amp;"|"&amp;TEXT(G92,"yyyymmdd"))</f>
        <v/>
      </c>
    </row>
    <row r="93">
      <c r="A93" s="7" t="n"/>
      <c r="B93" s="7">
        <f>IF(A93="","",IFERROR(VLOOKUP(A93,Empleados!A:B,2,FALSE),""))</f>
        <v/>
      </c>
      <c r="C93" s="7">
        <f>IF(A93="","",IFERROR(VLOOKUP(A93,Empleados!A:J,9,FALSE),""))</f>
        <v/>
      </c>
      <c r="D93" s="7">
        <f>IF(A93="","",IFERROR(VLOOKUP(A93,Empleados!A:I,8,FALSE),""))</f>
        <v/>
      </c>
      <c r="E93" s="7" t="n"/>
      <c r="F93" s="8" t="n"/>
      <c r="G93" s="8" t="n"/>
      <c r="H93" s="9">
        <f>IF(OR(F93="",G93=""),"",G93-F93+1)</f>
        <v/>
      </c>
      <c r="I93" s="7">
        <f>IF(A93="","","PENDIENTE")</f>
        <v/>
      </c>
      <c r="J93" s="7" t="n"/>
      <c r="K93" s="7">
        <f>IF(A93="","",A93&amp;"|"&amp;TEXT(F93,"yyyymmdd")&amp;"|"&amp;TEXT(G93,"yyyymmdd"))</f>
        <v/>
      </c>
    </row>
    <row r="94">
      <c r="A94" s="7" t="n"/>
      <c r="B94" s="7">
        <f>IF(A94="","",IFERROR(VLOOKUP(A94,Empleados!A:B,2,FALSE),""))</f>
        <v/>
      </c>
      <c r="C94" s="7">
        <f>IF(A94="","",IFERROR(VLOOKUP(A94,Empleados!A:J,9,FALSE),""))</f>
        <v/>
      </c>
      <c r="D94" s="7">
        <f>IF(A94="","",IFERROR(VLOOKUP(A94,Empleados!A:I,8,FALSE),""))</f>
        <v/>
      </c>
      <c r="E94" s="7" t="n"/>
      <c r="F94" s="8" t="n"/>
      <c r="G94" s="8" t="n"/>
      <c r="H94" s="9">
        <f>IF(OR(F94="",G94=""),"",G94-F94+1)</f>
        <v/>
      </c>
      <c r="I94" s="7">
        <f>IF(A94="","","PENDIENTE")</f>
        <v/>
      </c>
      <c r="J94" s="7" t="n"/>
      <c r="K94" s="7">
        <f>IF(A94="","",A94&amp;"|"&amp;TEXT(F94,"yyyymmdd")&amp;"|"&amp;TEXT(G94,"yyyymmdd"))</f>
        <v/>
      </c>
    </row>
    <row r="95">
      <c r="A95" s="7" t="n"/>
      <c r="B95" s="7">
        <f>IF(A95="","",IFERROR(VLOOKUP(A95,Empleados!A:B,2,FALSE),""))</f>
        <v/>
      </c>
      <c r="C95" s="7">
        <f>IF(A95="","",IFERROR(VLOOKUP(A95,Empleados!A:J,9,FALSE),""))</f>
        <v/>
      </c>
      <c r="D95" s="7">
        <f>IF(A95="","",IFERROR(VLOOKUP(A95,Empleados!A:I,8,FALSE),""))</f>
        <v/>
      </c>
      <c r="E95" s="7" t="n"/>
      <c r="F95" s="8" t="n"/>
      <c r="G95" s="8" t="n"/>
      <c r="H95" s="9">
        <f>IF(OR(F95="",G95=""),"",G95-F95+1)</f>
        <v/>
      </c>
      <c r="I95" s="7">
        <f>IF(A95="","","PENDIENTE")</f>
        <v/>
      </c>
      <c r="J95" s="7" t="n"/>
      <c r="K95" s="7">
        <f>IF(A95="","",A95&amp;"|"&amp;TEXT(F95,"yyyymmdd")&amp;"|"&amp;TEXT(G95,"yyyymmdd"))</f>
        <v/>
      </c>
    </row>
    <row r="96">
      <c r="A96" s="7" t="n"/>
      <c r="B96" s="7">
        <f>IF(A96="","",IFERROR(VLOOKUP(A96,Empleados!A:B,2,FALSE),""))</f>
        <v/>
      </c>
      <c r="C96" s="7">
        <f>IF(A96="","",IFERROR(VLOOKUP(A96,Empleados!A:J,9,FALSE),""))</f>
        <v/>
      </c>
      <c r="D96" s="7">
        <f>IF(A96="","",IFERROR(VLOOKUP(A96,Empleados!A:I,8,FALSE),""))</f>
        <v/>
      </c>
      <c r="E96" s="7" t="n"/>
      <c r="F96" s="8" t="n"/>
      <c r="G96" s="8" t="n"/>
      <c r="H96" s="9">
        <f>IF(OR(F96="",G96=""),"",G96-F96+1)</f>
        <v/>
      </c>
      <c r="I96" s="7">
        <f>IF(A96="","","PENDIENTE")</f>
        <v/>
      </c>
      <c r="J96" s="7" t="n"/>
      <c r="K96" s="7">
        <f>IF(A96="","",A96&amp;"|"&amp;TEXT(F96,"yyyymmdd")&amp;"|"&amp;TEXT(G96,"yyyymmdd"))</f>
        <v/>
      </c>
    </row>
    <row r="97">
      <c r="A97" s="7" t="n"/>
      <c r="B97" s="7">
        <f>IF(A97="","",IFERROR(VLOOKUP(A97,Empleados!A:B,2,FALSE),""))</f>
        <v/>
      </c>
      <c r="C97" s="7">
        <f>IF(A97="","",IFERROR(VLOOKUP(A97,Empleados!A:J,9,FALSE),""))</f>
        <v/>
      </c>
      <c r="D97" s="7">
        <f>IF(A97="","",IFERROR(VLOOKUP(A97,Empleados!A:I,8,FALSE),""))</f>
        <v/>
      </c>
      <c r="E97" s="7" t="n"/>
      <c r="F97" s="8" t="n"/>
      <c r="G97" s="8" t="n"/>
      <c r="H97" s="9">
        <f>IF(OR(F97="",G97=""),"",G97-F97+1)</f>
        <v/>
      </c>
      <c r="I97" s="7">
        <f>IF(A97="","","PENDIENTE")</f>
        <v/>
      </c>
      <c r="J97" s="7" t="n"/>
      <c r="K97" s="7">
        <f>IF(A97="","",A97&amp;"|"&amp;TEXT(F97,"yyyymmdd")&amp;"|"&amp;TEXT(G97,"yyyymmdd"))</f>
        <v/>
      </c>
    </row>
    <row r="98">
      <c r="A98" s="7" t="n"/>
      <c r="B98" s="7">
        <f>IF(A98="","",IFERROR(VLOOKUP(A98,Empleados!A:B,2,FALSE),""))</f>
        <v/>
      </c>
      <c r="C98" s="7">
        <f>IF(A98="","",IFERROR(VLOOKUP(A98,Empleados!A:J,9,FALSE),""))</f>
        <v/>
      </c>
      <c r="D98" s="7">
        <f>IF(A98="","",IFERROR(VLOOKUP(A98,Empleados!A:I,8,FALSE),""))</f>
        <v/>
      </c>
      <c r="E98" s="7" t="n"/>
      <c r="F98" s="8" t="n"/>
      <c r="G98" s="8" t="n"/>
      <c r="H98" s="9">
        <f>IF(OR(F98="",G98=""),"",G98-F98+1)</f>
        <v/>
      </c>
      <c r="I98" s="7">
        <f>IF(A98="","","PENDIENTE")</f>
        <v/>
      </c>
      <c r="J98" s="7" t="n"/>
      <c r="K98" s="7">
        <f>IF(A98="","",A98&amp;"|"&amp;TEXT(F98,"yyyymmdd")&amp;"|"&amp;TEXT(G98,"yyyymmdd"))</f>
        <v/>
      </c>
    </row>
    <row r="99">
      <c r="A99" s="7" t="n"/>
      <c r="B99" s="7">
        <f>IF(A99="","",IFERROR(VLOOKUP(A99,Empleados!A:B,2,FALSE),""))</f>
        <v/>
      </c>
      <c r="C99" s="7">
        <f>IF(A99="","",IFERROR(VLOOKUP(A99,Empleados!A:J,9,FALSE),""))</f>
        <v/>
      </c>
      <c r="D99" s="7">
        <f>IF(A99="","",IFERROR(VLOOKUP(A99,Empleados!A:I,8,FALSE),""))</f>
        <v/>
      </c>
      <c r="E99" s="7" t="n"/>
      <c r="F99" s="8" t="n"/>
      <c r="G99" s="8" t="n"/>
      <c r="H99" s="9">
        <f>IF(OR(F99="",G99=""),"",G99-F99+1)</f>
        <v/>
      </c>
      <c r="I99" s="7">
        <f>IF(A99="","","PENDIENTE")</f>
        <v/>
      </c>
      <c r="J99" s="7" t="n"/>
      <c r="K99" s="7">
        <f>IF(A99="","",A99&amp;"|"&amp;TEXT(F99,"yyyymmdd")&amp;"|"&amp;TEXT(G99,"yyyymmdd"))</f>
        <v/>
      </c>
    </row>
    <row r="100">
      <c r="A100" s="7" t="n"/>
      <c r="B100" s="7">
        <f>IF(A100="","",IFERROR(VLOOKUP(A100,Empleados!A:B,2,FALSE),""))</f>
        <v/>
      </c>
      <c r="C100" s="7">
        <f>IF(A100="","",IFERROR(VLOOKUP(A100,Empleados!A:J,9,FALSE),""))</f>
        <v/>
      </c>
      <c r="D100" s="7">
        <f>IF(A100="","",IFERROR(VLOOKUP(A100,Empleados!A:I,8,FALSE),""))</f>
        <v/>
      </c>
      <c r="E100" s="7" t="n"/>
      <c r="F100" s="8" t="n"/>
      <c r="G100" s="8" t="n"/>
      <c r="H100" s="9">
        <f>IF(OR(F100="",G100=""),"",G100-F100+1)</f>
        <v/>
      </c>
      <c r="I100" s="7">
        <f>IF(A100="","","PENDIENTE")</f>
        <v/>
      </c>
      <c r="J100" s="7" t="n"/>
      <c r="K100" s="7">
        <f>IF(A100="","",A100&amp;"|"&amp;TEXT(F100,"yyyymmdd")&amp;"|"&amp;TEXT(G100,"yyyymmdd"))</f>
        <v/>
      </c>
    </row>
    <row r="101">
      <c r="A101" s="7" t="n"/>
      <c r="B101" s="7">
        <f>IF(A101="","",IFERROR(VLOOKUP(A101,Empleados!A:B,2,FALSE),""))</f>
        <v/>
      </c>
      <c r="C101" s="7">
        <f>IF(A101="","",IFERROR(VLOOKUP(A101,Empleados!A:J,9,FALSE),""))</f>
        <v/>
      </c>
      <c r="D101" s="7">
        <f>IF(A101="","",IFERROR(VLOOKUP(A101,Empleados!A:I,8,FALSE),""))</f>
        <v/>
      </c>
      <c r="E101" s="7" t="n"/>
      <c r="F101" s="8" t="n"/>
      <c r="G101" s="8" t="n"/>
      <c r="H101" s="9">
        <f>IF(OR(F101="",G101=""),"",G101-F101+1)</f>
        <v/>
      </c>
      <c r="I101" s="7">
        <f>IF(A101="","","PENDIENTE")</f>
        <v/>
      </c>
      <c r="J101" s="7" t="n"/>
      <c r="K101" s="7">
        <f>IF(A101="","",A101&amp;"|"&amp;TEXT(F101,"yyyymmdd")&amp;"|"&amp;TEXT(G101,"yyyymmdd"))</f>
        <v/>
      </c>
    </row>
    <row r="102">
      <c r="A102" s="7" t="n"/>
      <c r="B102" s="7">
        <f>IF(A102="","",IFERROR(VLOOKUP(A102,Empleados!A:B,2,FALSE),""))</f>
        <v/>
      </c>
      <c r="C102" s="7">
        <f>IF(A102="","",IFERROR(VLOOKUP(A102,Empleados!A:J,9,FALSE),""))</f>
        <v/>
      </c>
      <c r="D102" s="7">
        <f>IF(A102="","",IFERROR(VLOOKUP(A102,Empleados!A:I,8,FALSE),""))</f>
        <v/>
      </c>
      <c r="E102" s="7" t="n"/>
      <c r="F102" s="8" t="n"/>
      <c r="G102" s="8" t="n"/>
      <c r="H102" s="9">
        <f>IF(OR(F102="",G102=""),"",G102-F102+1)</f>
        <v/>
      </c>
      <c r="I102" s="7">
        <f>IF(A102="","","PENDIENTE")</f>
        <v/>
      </c>
      <c r="J102" s="7" t="n"/>
      <c r="K102" s="7">
        <f>IF(A102="","",A102&amp;"|"&amp;TEXT(F102,"yyyymmdd")&amp;"|"&amp;TEXT(G102,"yyyymmdd"))</f>
        <v/>
      </c>
    </row>
    <row r="103">
      <c r="A103" s="7" t="n"/>
      <c r="B103" s="7">
        <f>IF(A103="","",IFERROR(VLOOKUP(A103,Empleados!A:B,2,FALSE),""))</f>
        <v/>
      </c>
      <c r="C103" s="7">
        <f>IF(A103="","",IFERROR(VLOOKUP(A103,Empleados!A:J,9,FALSE),""))</f>
        <v/>
      </c>
      <c r="D103" s="7">
        <f>IF(A103="","",IFERROR(VLOOKUP(A103,Empleados!A:I,8,FALSE),""))</f>
        <v/>
      </c>
      <c r="E103" s="7" t="n"/>
      <c r="F103" s="8" t="n"/>
      <c r="G103" s="8" t="n"/>
      <c r="H103" s="9">
        <f>IF(OR(F103="",G103=""),"",G103-F103+1)</f>
        <v/>
      </c>
      <c r="I103" s="7">
        <f>IF(A103="","","PENDIENTE")</f>
        <v/>
      </c>
      <c r="J103" s="7" t="n"/>
      <c r="K103" s="7">
        <f>IF(A103="","",A103&amp;"|"&amp;TEXT(F103,"yyyymmdd")&amp;"|"&amp;TEXT(G103,"yyyymmdd"))</f>
        <v/>
      </c>
    </row>
    <row r="104">
      <c r="A104" s="7" t="n"/>
      <c r="B104" s="7">
        <f>IF(A104="","",IFERROR(VLOOKUP(A104,Empleados!A:B,2,FALSE),""))</f>
        <v/>
      </c>
      <c r="C104" s="7">
        <f>IF(A104="","",IFERROR(VLOOKUP(A104,Empleados!A:J,9,FALSE),""))</f>
        <v/>
      </c>
      <c r="D104" s="7">
        <f>IF(A104="","",IFERROR(VLOOKUP(A104,Empleados!A:I,8,FALSE),""))</f>
        <v/>
      </c>
      <c r="E104" s="7" t="n"/>
      <c r="F104" s="8" t="n"/>
      <c r="G104" s="8" t="n"/>
      <c r="H104" s="9">
        <f>IF(OR(F104="",G104=""),"",G104-F104+1)</f>
        <v/>
      </c>
      <c r="I104" s="7">
        <f>IF(A104="","","PENDIENTE")</f>
        <v/>
      </c>
      <c r="J104" s="7" t="n"/>
      <c r="K104" s="7">
        <f>IF(A104="","",A104&amp;"|"&amp;TEXT(F104,"yyyymmdd")&amp;"|"&amp;TEXT(G104,"yyyymmdd"))</f>
        <v/>
      </c>
    </row>
    <row r="105">
      <c r="A105" s="7" t="n"/>
      <c r="B105" s="7">
        <f>IF(A105="","",IFERROR(VLOOKUP(A105,Empleados!A:B,2,FALSE),""))</f>
        <v/>
      </c>
      <c r="C105" s="7">
        <f>IF(A105="","",IFERROR(VLOOKUP(A105,Empleados!A:J,9,FALSE),""))</f>
        <v/>
      </c>
      <c r="D105" s="7">
        <f>IF(A105="","",IFERROR(VLOOKUP(A105,Empleados!A:I,8,FALSE),""))</f>
        <v/>
      </c>
      <c r="E105" s="7" t="n"/>
      <c r="F105" s="8" t="n"/>
      <c r="G105" s="8" t="n"/>
      <c r="H105" s="9">
        <f>IF(OR(F105="",G105=""),"",G105-F105+1)</f>
        <v/>
      </c>
      <c r="I105" s="7">
        <f>IF(A105="","","PENDIENTE")</f>
        <v/>
      </c>
      <c r="J105" s="7" t="n"/>
      <c r="K105" s="7">
        <f>IF(A105="","",A105&amp;"|"&amp;TEXT(F105,"yyyymmdd")&amp;"|"&amp;TEXT(G105,"yyyymmdd"))</f>
        <v/>
      </c>
    </row>
    <row r="106">
      <c r="A106" s="7" t="n"/>
      <c r="B106" s="7">
        <f>IF(A106="","",IFERROR(VLOOKUP(A106,Empleados!A:B,2,FALSE),""))</f>
        <v/>
      </c>
      <c r="C106" s="7">
        <f>IF(A106="","",IFERROR(VLOOKUP(A106,Empleados!A:J,9,FALSE),""))</f>
        <v/>
      </c>
      <c r="D106" s="7">
        <f>IF(A106="","",IFERROR(VLOOKUP(A106,Empleados!A:I,8,FALSE),""))</f>
        <v/>
      </c>
      <c r="E106" s="7" t="n"/>
      <c r="F106" s="8" t="n"/>
      <c r="G106" s="8" t="n"/>
      <c r="H106" s="9">
        <f>IF(OR(F106="",G106=""),"",G106-F106+1)</f>
        <v/>
      </c>
      <c r="I106" s="7">
        <f>IF(A106="","","PENDIENTE")</f>
        <v/>
      </c>
      <c r="J106" s="7" t="n"/>
      <c r="K106" s="7">
        <f>IF(A106="","",A106&amp;"|"&amp;TEXT(F106,"yyyymmdd")&amp;"|"&amp;TEXT(G106,"yyyymmdd"))</f>
        <v/>
      </c>
    </row>
    <row r="107">
      <c r="A107" s="7" t="n"/>
      <c r="B107" s="7">
        <f>IF(A107="","",IFERROR(VLOOKUP(A107,Empleados!A:B,2,FALSE),""))</f>
        <v/>
      </c>
      <c r="C107" s="7">
        <f>IF(A107="","",IFERROR(VLOOKUP(A107,Empleados!A:J,9,FALSE),""))</f>
        <v/>
      </c>
      <c r="D107" s="7">
        <f>IF(A107="","",IFERROR(VLOOKUP(A107,Empleados!A:I,8,FALSE),""))</f>
        <v/>
      </c>
      <c r="E107" s="7" t="n"/>
      <c r="F107" s="8" t="n"/>
      <c r="G107" s="8" t="n"/>
      <c r="H107" s="9">
        <f>IF(OR(F107="",G107=""),"",G107-F107+1)</f>
        <v/>
      </c>
      <c r="I107" s="7">
        <f>IF(A107="","","PENDIENTE")</f>
        <v/>
      </c>
      <c r="J107" s="7" t="n"/>
      <c r="K107" s="7">
        <f>IF(A107="","",A107&amp;"|"&amp;TEXT(F107,"yyyymmdd")&amp;"|"&amp;TEXT(G107,"yyyymmdd"))</f>
        <v/>
      </c>
    </row>
    <row r="108">
      <c r="A108" s="7" t="n"/>
      <c r="B108" s="7">
        <f>IF(A108="","",IFERROR(VLOOKUP(A108,Empleados!A:B,2,FALSE),""))</f>
        <v/>
      </c>
      <c r="C108" s="7">
        <f>IF(A108="","",IFERROR(VLOOKUP(A108,Empleados!A:J,9,FALSE),""))</f>
        <v/>
      </c>
      <c r="D108" s="7">
        <f>IF(A108="","",IFERROR(VLOOKUP(A108,Empleados!A:I,8,FALSE),""))</f>
        <v/>
      </c>
      <c r="E108" s="7" t="n"/>
      <c r="F108" s="8" t="n"/>
      <c r="G108" s="8" t="n"/>
      <c r="H108" s="9">
        <f>IF(OR(F108="",G108=""),"",G108-F108+1)</f>
        <v/>
      </c>
      <c r="I108" s="7">
        <f>IF(A108="","","PENDIENTE")</f>
        <v/>
      </c>
      <c r="J108" s="7" t="n"/>
      <c r="K108" s="7">
        <f>IF(A108="","",A108&amp;"|"&amp;TEXT(F108,"yyyymmdd")&amp;"|"&amp;TEXT(G108,"yyyymmdd"))</f>
        <v/>
      </c>
    </row>
    <row r="109">
      <c r="A109" s="7" t="n"/>
      <c r="B109" s="7">
        <f>IF(A109="","",IFERROR(VLOOKUP(A109,Empleados!A:B,2,FALSE),""))</f>
        <v/>
      </c>
      <c r="C109" s="7">
        <f>IF(A109="","",IFERROR(VLOOKUP(A109,Empleados!A:J,9,FALSE),""))</f>
        <v/>
      </c>
      <c r="D109" s="7">
        <f>IF(A109="","",IFERROR(VLOOKUP(A109,Empleados!A:I,8,FALSE),""))</f>
        <v/>
      </c>
      <c r="E109" s="7" t="n"/>
      <c r="F109" s="8" t="n"/>
      <c r="G109" s="8" t="n"/>
      <c r="H109" s="9">
        <f>IF(OR(F109="",G109=""),"",G109-F109+1)</f>
        <v/>
      </c>
      <c r="I109" s="7">
        <f>IF(A109="","","PENDIENTE")</f>
        <v/>
      </c>
      <c r="J109" s="7" t="n"/>
      <c r="K109" s="7">
        <f>IF(A109="","",A109&amp;"|"&amp;TEXT(F109,"yyyymmdd")&amp;"|"&amp;TEXT(G109,"yyyymmdd"))</f>
        <v/>
      </c>
    </row>
    <row r="110">
      <c r="A110" s="7" t="n"/>
      <c r="B110" s="7">
        <f>IF(A110="","",IFERROR(VLOOKUP(A110,Empleados!A:B,2,FALSE),""))</f>
        <v/>
      </c>
      <c r="C110" s="7">
        <f>IF(A110="","",IFERROR(VLOOKUP(A110,Empleados!A:J,9,FALSE),""))</f>
        <v/>
      </c>
      <c r="D110" s="7">
        <f>IF(A110="","",IFERROR(VLOOKUP(A110,Empleados!A:I,8,FALSE),""))</f>
        <v/>
      </c>
      <c r="E110" s="7" t="n"/>
      <c r="F110" s="8" t="n"/>
      <c r="G110" s="8" t="n"/>
      <c r="H110" s="9">
        <f>IF(OR(F110="",G110=""),"",G110-F110+1)</f>
        <v/>
      </c>
      <c r="I110" s="7">
        <f>IF(A110="","","PENDIENTE")</f>
        <v/>
      </c>
      <c r="J110" s="7" t="n"/>
      <c r="K110" s="7">
        <f>IF(A110="","",A110&amp;"|"&amp;TEXT(F110,"yyyymmdd")&amp;"|"&amp;TEXT(G110,"yyyymmdd"))</f>
        <v/>
      </c>
    </row>
    <row r="111">
      <c r="A111" s="7" t="n"/>
      <c r="B111" s="7">
        <f>IF(A111="","",IFERROR(VLOOKUP(A111,Empleados!A:B,2,FALSE),""))</f>
        <v/>
      </c>
      <c r="C111" s="7">
        <f>IF(A111="","",IFERROR(VLOOKUP(A111,Empleados!A:J,9,FALSE),""))</f>
        <v/>
      </c>
      <c r="D111" s="7">
        <f>IF(A111="","",IFERROR(VLOOKUP(A111,Empleados!A:I,8,FALSE),""))</f>
        <v/>
      </c>
      <c r="E111" s="7" t="n"/>
      <c r="F111" s="8" t="n"/>
      <c r="G111" s="8" t="n"/>
      <c r="H111" s="9">
        <f>IF(OR(F111="",G111=""),"",G111-F111+1)</f>
        <v/>
      </c>
      <c r="I111" s="7">
        <f>IF(A111="","","PENDIENTE")</f>
        <v/>
      </c>
      <c r="J111" s="7" t="n"/>
      <c r="K111" s="7">
        <f>IF(A111="","",A111&amp;"|"&amp;TEXT(F111,"yyyymmdd")&amp;"|"&amp;TEXT(G111,"yyyymmdd"))</f>
        <v/>
      </c>
    </row>
    <row r="112">
      <c r="A112" s="7" t="n"/>
      <c r="B112" s="7">
        <f>IF(A112="","",IFERROR(VLOOKUP(A112,Empleados!A:B,2,FALSE),""))</f>
        <v/>
      </c>
      <c r="C112" s="7">
        <f>IF(A112="","",IFERROR(VLOOKUP(A112,Empleados!A:J,9,FALSE),""))</f>
        <v/>
      </c>
      <c r="D112" s="7">
        <f>IF(A112="","",IFERROR(VLOOKUP(A112,Empleados!A:I,8,FALSE),""))</f>
        <v/>
      </c>
      <c r="E112" s="7" t="n"/>
      <c r="F112" s="8" t="n"/>
      <c r="G112" s="8" t="n"/>
      <c r="H112" s="9">
        <f>IF(OR(F112="",G112=""),"",G112-F112+1)</f>
        <v/>
      </c>
      <c r="I112" s="7">
        <f>IF(A112="","","PENDIENTE")</f>
        <v/>
      </c>
      <c r="J112" s="7" t="n"/>
      <c r="K112" s="7">
        <f>IF(A112="","",A112&amp;"|"&amp;TEXT(F112,"yyyymmdd")&amp;"|"&amp;TEXT(G112,"yyyymmdd"))</f>
        <v/>
      </c>
    </row>
    <row r="113">
      <c r="A113" s="7" t="n"/>
      <c r="B113" s="7">
        <f>IF(A113="","",IFERROR(VLOOKUP(A113,Empleados!A:B,2,FALSE),""))</f>
        <v/>
      </c>
      <c r="C113" s="7">
        <f>IF(A113="","",IFERROR(VLOOKUP(A113,Empleados!A:J,9,FALSE),""))</f>
        <v/>
      </c>
      <c r="D113" s="7">
        <f>IF(A113="","",IFERROR(VLOOKUP(A113,Empleados!A:I,8,FALSE),""))</f>
        <v/>
      </c>
      <c r="E113" s="7" t="n"/>
      <c r="F113" s="8" t="n"/>
      <c r="G113" s="8" t="n"/>
      <c r="H113" s="9">
        <f>IF(OR(F113="",G113=""),"",G113-F113+1)</f>
        <v/>
      </c>
      <c r="I113" s="7">
        <f>IF(A113="","","PENDIENTE")</f>
        <v/>
      </c>
      <c r="J113" s="7" t="n"/>
      <c r="K113" s="7">
        <f>IF(A113="","",A113&amp;"|"&amp;TEXT(F113,"yyyymmdd")&amp;"|"&amp;TEXT(G113,"yyyymmdd"))</f>
        <v/>
      </c>
    </row>
    <row r="114">
      <c r="A114" s="7" t="n"/>
      <c r="B114" s="7">
        <f>IF(A114="","",IFERROR(VLOOKUP(A114,Empleados!A:B,2,FALSE),""))</f>
        <v/>
      </c>
      <c r="C114" s="7">
        <f>IF(A114="","",IFERROR(VLOOKUP(A114,Empleados!A:J,9,FALSE),""))</f>
        <v/>
      </c>
      <c r="D114" s="7">
        <f>IF(A114="","",IFERROR(VLOOKUP(A114,Empleados!A:I,8,FALSE),""))</f>
        <v/>
      </c>
      <c r="E114" s="7" t="n"/>
      <c r="F114" s="8" t="n"/>
      <c r="G114" s="8" t="n"/>
      <c r="H114" s="9">
        <f>IF(OR(F114="",G114=""),"",G114-F114+1)</f>
        <v/>
      </c>
      <c r="I114" s="7">
        <f>IF(A114="","","PENDIENTE")</f>
        <v/>
      </c>
      <c r="J114" s="7" t="n"/>
      <c r="K114" s="7">
        <f>IF(A114="","",A114&amp;"|"&amp;TEXT(F114,"yyyymmdd")&amp;"|"&amp;TEXT(G114,"yyyymmdd"))</f>
        <v/>
      </c>
    </row>
    <row r="115">
      <c r="A115" s="7" t="n"/>
      <c r="B115" s="7">
        <f>IF(A115="","",IFERROR(VLOOKUP(A115,Empleados!A:B,2,FALSE),""))</f>
        <v/>
      </c>
      <c r="C115" s="7">
        <f>IF(A115="","",IFERROR(VLOOKUP(A115,Empleados!A:J,9,FALSE),""))</f>
        <v/>
      </c>
      <c r="D115" s="7">
        <f>IF(A115="","",IFERROR(VLOOKUP(A115,Empleados!A:I,8,FALSE),""))</f>
        <v/>
      </c>
      <c r="E115" s="7" t="n"/>
      <c r="F115" s="8" t="n"/>
      <c r="G115" s="8" t="n"/>
      <c r="H115" s="9">
        <f>IF(OR(F115="",G115=""),"",G115-F115+1)</f>
        <v/>
      </c>
      <c r="I115" s="7">
        <f>IF(A115="","","PENDIENTE")</f>
        <v/>
      </c>
      <c r="J115" s="7" t="n"/>
      <c r="K115" s="7">
        <f>IF(A115="","",A115&amp;"|"&amp;TEXT(F115,"yyyymmdd")&amp;"|"&amp;TEXT(G115,"yyyymmdd"))</f>
        <v/>
      </c>
    </row>
    <row r="116">
      <c r="A116" s="7" t="n"/>
      <c r="B116" s="7">
        <f>IF(A116="","",IFERROR(VLOOKUP(A116,Empleados!A:B,2,FALSE),""))</f>
        <v/>
      </c>
      <c r="C116" s="7">
        <f>IF(A116="","",IFERROR(VLOOKUP(A116,Empleados!A:J,9,FALSE),""))</f>
        <v/>
      </c>
      <c r="D116" s="7">
        <f>IF(A116="","",IFERROR(VLOOKUP(A116,Empleados!A:I,8,FALSE),""))</f>
        <v/>
      </c>
      <c r="E116" s="7" t="n"/>
      <c r="F116" s="8" t="n"/>
      <c r="G116" s="8" t="n"/>
      <c r="H116" s="9">
        <f>IF(OR(F116="",G116=""),"",G116-F116+1)</f>
        <v/>
      </c>
      <c r="I116" s="7">
        <f>IF(A116="","","PENDIENTE")</f>
        <v/>
      </c>
      <c r="J116" s="7" t="n"/>
      <c r="K116" s="7">
        <f>IF(A116="","",A116&amp;"|"&amp;TEXT(F116,"yyyymmdd")&amp;"|"&amp;TEXT(G116,"yyyymmdd"))</f>
        <v/>
      </c>
    </row>
    <row r="117">
      <c r="A117" s="7" t="n"/>
      <c r="B117" s="7">
        <f>IF(A117="","",IFERROR(VLOOKUP(A117,Empleados!A:B,2,FALSE),""))</f>
        <v/>
      </c>
      <c r="C117" s="7">
        <f>IF(A117="","",IFERROR(VLOOKUP(A117,Empleados!A:J,9,FALSE),""))</f>
        <v/>
      </c>
      <c r="D117" s="7">
        <f>IF(A117="","",IFERROR(VLOOKUP(A117,Empleados!A:I,8,FALSE),""))</f>
        <v/>
      </c>
      <c r="E117" s="7" t="n"/>
      <c r="F117" s="8" t="n"/>
      <c r="G117" s="8" t="n"/>
      <c r="H117" s="9">
        <f>IF(OR(F117="",G117=""),"",G117-F117+1)</f>
        <v/>
      </c>
      <c r="I117" s="7">
        <f>IF(A117="","","PENDIENTE")</f>
        <v/>
      </c>
      <c r="J117" s="7" t="n"/>
      <c r="K117" s="7">
        <f>IF(A117="","",A117&amp;"|"&amp;TEXT(F117,"yyyymmdd")&amp;"|"&amp;TEXT(G117,"yyyymmdd"))</f>
        <v/>
      </c>
    </row>
    <row r="118">
      <c r="A118" s="7" t="n"/>
      <c r="B118" s="7">
        <f>IF(A118="","",IFERROR(VLOOKUP(A118,Empleados!A:B,2,FALSE),""))</f>
        <v/>
      </c>
      <c r="C118" s="7">
        <f>IF(A118="","",IFERROR(VLOOKUP(A118,Empleados!A:J,9,FALSE),""))</f>
        <v/>
      </c>
      <c r="D118" s="7">
        <f>IF(A118="","",IFERROR(VLOOKUP(A118,Empleados!A:I,8,FALSE),""))</f>
        <v/>
      </c>
      <c r="E118" s="7" t="n"/>
      <c r="F118" s="8" t="n"/>
      <c r="G118" s="8" t="n"/>
      <c r="H118" s="9">
        <f>IF(OR(F118="",G118=""),"",G118-F118+1)</f>
        <v/>
      </c>
      <c r="I118" s="7">
        <f>IF(A118="","","PENDIENTE")</f>
        <v/>
      </c>
      <c r="J118" s="7" t="n"/>
      <c r="K118" s="7">
        <f>IF(A118="","",A118&amp;"|"&amp;TEXT(F118,"yyyymmdd")&amp;"|"&amp;TEXT(G118,"yyyymmdd"))</f>
        <v/>
      </c>
    </row>
    <row r="119">
      <c r="A119" s="7" t="n"/>
      <c r="B119" s="7">
        <f>IF(A119="","",IFERROR(VLOOKUP(A119,Empleados!A:B,2,FALSE),""))</f>
        <v/>
      </c>
      <c r="C119" s="7">
        <f>IF(A119="","",IFERROR(VLOOKUP(A119,Empleados!A:J,9,FALSE),""))</f>
        <v/>
      </c>
      <c r="D119" s="7">
        <f>IF(A119="","",IFERROR(VLOOKUP(A119,Empleados!A:I,8,FALSE),""))</f>
        <v/>
      </c>
      <c r="E119" s="7" t="n"/>
      <c r="F119" s="8" t="n"/>
      <c r="G119" s="8" t="n"/>
      <c r="H119" s="9">
        <f>IF(OR(F119="",G119=""),"",G119-F119+1)</f>
        <v/>
      </c>
      <c r="I119" s="7">
        <f>IF(A119="","","PENDIENTE")</f>
        <v/>
      </c>
      <c r="J119" s="7" t="n"/>
      <c r="K119" s="7">
        <f>IF(A119="","",A119&amp;"|"&amp;TEXT(F119,"yyyymmdd")&amp;"|"&amp;TEXT(G119,"yyyymmdd"))</f>
        <v/>
      </c>
    </row>
    <row r="120">
      <c r="A120" s="7" t="n"/>
      <c r="B120" s="7">
        <f>IF(A120="","",IFERROR(VLOOKUP(A120,Empleados!A:B,2,FALSE),""))</f>
        <v/>
      </c>
      <c r="C120" s="7">
        <f>IF(A120="","",IFERROR(VLOOKUP(A120,Empleados!A:J,9,FALSE),""))</f>
        <v/>
      </c>
      <c r="D120" s="7">
        <f>IF(A120="","",IFERROR(VLOOKUP(A120,Empleados!A:I,8,FALSE),""))</f>
        <v/>
      </c>
      <c r="E120" s="7" t="n"/>
      <c r="F120" s="8" t="n"/>
      <c r="G120" s="8" t="n"/>
      <c r="H120" s="9">
        <f>IF(OR(F120="",G120=""),"",G120-F120+1)</f>
        <v/>
      </c>
      <c r="I120" s="7">
        <f>IF(A120="","","PENDIENTE")</f>
        <v/>
      </c>
      <c r="J120" s="7" t="n"/>
      <c r="K120" s="7">
        <f>IF(A120="","",A120&amp;"|"&amp;TEXT(F120,"yyyymmdd")&amp;"|"&amp;TEXT(G120,"yyyymmdd"))</f>
        <v/>
      </c>
    </row>
    <row r="121">
      <c r="A121" s="7" t="n"/>
      <c r="B121" s="7">
        <f>IF(A121="","",IFERROR(VLOOKUP(A121,Empleados!A:B,2,FALSE),""))</f>
        <v/>
      </c>
      <c r="C121" s="7">
        <f>IF(A121="","",IFERROR(VLOOKUP(A121,Empleados!A:J,9,FALSE),""))</f>
        <v/>
      </c>
      <c r="D121" s="7">
        <f>IF(A121="","",IFERROR(VLOOKUP(A121,Empleados!A:I,8,FALSE),""))</f>
        <v/>
      </c>
      <c r="E121" s="7" t="n"/>
      <c r="F121" s="8" t="n"/>
      <c r="G121" s="8" t="n"/>
      <c r="H121" s="9">
        <f>IF(OR(F121="",G121=""),"",G121-F121+1)</f>
        <v/>
      </c>
      <c r="I121" s="7">
        <f>IF(A121="","","PENDIENTE")</f>
        <v/>
      </c>
      <c r="J121" s="7" t="n"/>
      <c r="K121" s="7">
        <f>IF(A121="","",A121&amp;"|"&amp;TEXT(F121,"yyyymmdd")&amp;"|"&amp;TEXT(G121,"yyyymmdd"))</f>
        <v/>
      </c>
    </row>
    <row r="122">
      <c r="A122" s="7" t="n"/>
      <c r="B122" s="7">
        <f>IF(A122="","",IFERROR(VLOOKUP(A122,Empleados!A:B,2,FALSE),""))</f>
        <v/>
      </c>
      <c r="C122" s="7">
        <f>IF(A122="","",IFERROR(VLOOKUP(A122,Empleados!A:J,9,FALSE),""))</f>
        <v/>
      </c>
      <c r="D122" s="7">
        <f>IF(A122="","",IFERROR(VLOOKUP(A122,Empleados!A:I,8,FALSE),""))</f>
        <v/>
      </c>
      <c r="E122" s="7" t="n"/>
      <c r="F122" s="8" t="n"/>
      <c r="G122" s="8" t="n"/>
      <c r="H122" s="9">
        <f>IF(OR(F122="",G122=""),"",G122-F122+1)</f>
        <v/>
      </c>
      <c r="I122" s="7">
        <f>IF(A122="","","PENDIENTE")</f>
        <v/>
      </c>
      <c r="J122" s="7" t="n"/>
      <c r="K122" s="7">
        <f>IF(A122="","",A122&amp;"|"&amp;TEXT(F122,"yyyymmdd")&amp;"|"&amp;TEXT(G122,"yyyymmdd"))</f>
        <v/>
      </c>
    </row>
    <row r="123">
      <c r="A123" s="7" t="n"/>
      <c r="B123" s="7">
        <f>IF(A123="","",IFERROR(VLOOKUP(A123,Empleados!A:B,2,FALSE),""))</f>
        <v/>
      </c>
      <c r="C123" s="7">
        <f>IF(A123="","",IFERROR(VLOOKUP(A123,Empleados!A:J,9,FALSE),""))</f>
        <v/>
      </c>
      <c r="D123" s="7">
        <f>IF(A123="","",IFERROR(VLOOKUP(A123,Empleados!A:I,8,FALSE),""))</f>
        <v/>
      </c>
      <c r="E123" s="7" t="n"/>
      <c r="F123" s="8" t="n"/>
      <c r="G123" s="8" t="n"/>
      <c r="H123" s="9">
        <f>IF(OR(F123="",G123=""),"",G123-F123+1)</f>
        <v/>
      </c>
      <c r="I123" s="7">
        <f>IF(A123="","","PENDIENTE")</f>
        <v/>
      </c>
      <c r="J123" s="7" t="n"/>
      <c r="K123" s="7">
        <f>IF(A123="","",A123&amp;"|"&amp;TEXT(F123,"yyyymmdd")&amp;"|"&amp;TEXT(G123,"yyyymmdd"))</f>
        <v/>
      </c>
    </row>
    <row r="124">
      <c r="A124" s="7" t="n"/>
      <c r="B124" s="7">
        <f>IF(A124="","",IFERROR(VLOOKUP(A124,Empleados!A:B,2,FALSE),""))</f>
        <v/>
      </c>
      <c r="C124" s="7">
        <f>IF(A124="","",IFERROR(VLOOKUP(A124,Empleados!A:J,9,FALSE),""))</f>
        <v/>
      </c>
      <c r="D124" s="7">
        <f>IF(A124="","",IFERROR(VLOOKUP(A124,Empleados!A:I,8,FALSE),""))</f>
        <v/>
      </c>
      <c r="E124" s="7" t="n"/>
      <c r="F124" s="8" t="n"/>
      <c r="G124" s="8" t="n"/>
      <c r="H124" s="9">
        <f>IF(OR(F124="",G124=""),"",G124-F124+1)</f>
        <v/>
      </c>
      <c r="I124" s="7">
        <f>IF(A124="","","PENDIENTE")</f>
        <v/>
      </c>
      <c r="J124" s="7" t="n"/>
      <c r="K124" s="7">
        <f>IF(A124="","",A124&amp;"|"&amp;TEXT(F124,"yyyymmdd")&amp;"|"&amp;TEXT(G124,"yyyymmdd"))</f>
        <v/>
      </c>
    </row>
    <row r="125">
      <c r="A125" s="7" t="n"/>
      <c r="B125" s="7">
        <f>IF(A125="","",IFERROR(VLOOKUP(A125,Empleados!A:B,2,FALSE),""))</f>
        <v/>
      </c>
      <c r="C125" s="7">
        <f>IF(A125="","",IFERROR(VLOOKUP(A125,Empleados!A:J,9,FALSE),""))</f>
        <v/>
      </c>
      <c r="D125" s="7">
        <f>IF(A125="","",IFERROR(VLOOKUP(A125,Empleados!A:I,8,FALSE),""))</f>
        <v/>
      </c>
      <c r="E125" s="7" t="n"/>
      <c r="F125" s="8" t="n"/>
      <c r="G125" s="8" t="n"/>
      <c r="H125" s="9">
        <f>IF(OR(F125="",G125=""),"",G125-F125+1)</f>
        <v/>
      </c>
      <c r="I125" s="7">
        <f>IF(A125="","","PENDIENTE")</f>
        <v/>
      </c>
      <c r="J125" s="7" t="n"/>
      <c r="K125" s="7">
        <f>IF(A125="","",A125&amp;"|"&amp;TEXT(F125,"yyyymmdd")&amp;"|"&amp;TEXT(G125,"yyyymmdd"))</f>
        <v/>
      </c>
    </row>
    <row r="126">
      <c r="A126" s="7" t="n"/>
      <c r="B126" s="7">
        <f>IF(A126="","",IFERROR(VLOOKUP(A126,Empleados!A:B,2,FALSE),""))</f>
        <v/>
      </c>
      <c r="C126" s="7">
        <f>IF(A126="","",IFERROR(VLOOKUP(A126,Empleados!A:J,9,FALSE),""))</f>
        <v/>
      </c>
      <c r="D126" s="7">
        <f>IF(A126="","",IFERROR(VLOOKUP(A126,Empleados!A:I,8,FALSE),""))</f>
        <v/>
      </c>
      <c r="E126" s="7" t="n"/>
      <c r="F126" s="8" t="n"/>
      <c r="G126" s="8" t="n"/>
      <c r="H126" s="9">
        <f>IF(OR(F126="",G126=""),"",G126-F126+1)</f>
        <v/>
      </c>
      <c r="I126" s="7">
        <f>IF(A126="","","PENDIENTE")</f>
        <v/>
      </c>
      <c r="J126" s="7" t="n"/>
      <c r="K126" s="7">
        <f>IF(A126="","",A126&amp;"|"&amp;TEXT(F126,"yyyymmdd")&amp;"|"&amp;TEXT(G126,"yyyymmdd"))</f>
        <v/>
      </c>
    </row>
    <row r="127">
      <c r="A127" s="7" t="n"/>
      <c r="B127" s="7">
        <f>IF(A127="","",IFERROR(VLOOKUP(A127,Empleados!A:B,2,FALSE),""))</f>
        <v/>
      </c>
      <c r="C127" s="7">
        <f>IF(A127="","",IFERROR(VLOOKUP(A127,Empleados!A:J,9,FALSE),""))</f>
        <v/>
      </c>
      <c r="D127" s="7">
        <f>IF(A127="","",IFERROR(VLOOKUP(A127,Empleados!A:I,8,FALSE),""))</f>
        <v/>
      </c>
      <c r="E127" s="7" t="n"/>
      <c r="F127" s="8" t="n"/>
      <c r="G127" s="8" t="n"/>
      <c r="H127" s="9">
        <f>IF(OR(F127="",G127=""),"",G127-F127+1)</f>
        <v/>
      </c>
      <c r="I127" s="7">
        <f>IF(A127="","","PENDIENTE")</f>
        <v/>
      </c>
      <c r="J127" s="7" t="n"/>
      <c r="K127" s="7">
        <f>IF(A127="","",A127&amp;"|"&amp;TEXT(F127,"yyyymmdd")&amp;"|"&amp;TEXT(G127,"yyyymmdd"))</f>
        <v/>
      </c>
    </row>
    <row r="128">
      <c r="A128" s="7" t="n"/>
      <c r="B128" s="7">
        <f>IF(A128="","",IFERROR(VLOOKUP(A128,Empleados!A:B,2,FALSE),""))</f>
        <v/>
      </c>
      <c r="C128" s="7">
        <f>IF(A128="","",IFERROR(VLOOKUP(A128,Empleados!A:J,9,FALSE),""))</f>
        <v/>
      </c>
      <c r="D128" s="7">
        <f>IF(A128="","",IFERROR(VLOOKUP(A128,Empleados!A:I,8,FALSE),""))</f>
        <v/>
      </c>
      <c r="E128" s="7" t="n"/>
      <c r="F128" s="8" t="n"/>
      <c r="G128" s="8" t="n"/>
      <c r="H128" s="9">
        <f>IF(OR(F128="",G128=""),"",G128-F128+1)</f>
        <v/>
      </c>
      <c r="I128" s="7">
        <f>IF(A128="","","PENDIENTE")</f>
        <v/>
      </c>
      <c r="J128" s="7" t="n"/>
      <c r="K128" s="7">
        <f>IF(A128="","",A128&amp;"|"&amp;TEXT(F128,"yyyymmdd")&amp;"|"&amp;TEXT(G128,"yyyymmdd"))</f>
        <v/>
      </c>
    </row>
    <row r="129">
      <c r="A129" s="7" t="n"/>
      <c r="B129" s="7">
        <f>IF(A129="","",IFERROR(VLOOKUP(A129,Empleados!A:B,2,FALSE),""))</f>
        <v/>
      </c>
      <c r="C129" s="7">
        <f>IF(A129="","",IFERROR(VLOOKUP(A129,Empleados!A:J,9,FALSE),""))</f>
        <v/>
      </c>
      <c r="D129" s="7">
        <f>IF(A129="","",IFERROR(VLOOKUP(A129,Empleados!A:I,8,FALSE),""))</f>
        <v/>
      </c>
      <c r="E129" s="7" t="n"/>
      <c r="F129" s="8" t="n"/>
      <c r="G129" s="8" t="n"/>
      <c r="H129" s="9">
        <f>IF(OR(F129="",G129=""),"",G129-F129+1)</f>
        <v/>
      </c>
      <c r="I129" s="7">
        <f>IF(A129="","","PENDIENTE")</f>
        <v/>
      </c>
      <c r="J129" s="7" t="n"/>
      <c r="K129" s="7">
        <f>IF(A129="","",A129&amp;"|"&amp;TEXT(F129,"yyyymmdd")&amp;"|"&amp;TEXT(G129,"yyyymmdd"))</f>
        <v/>
      </c>
    </row>
    <row r="130">
      <c r="A130" s="7" t="n"/>
      <c r="B130" s="7">
        <f>IF(A130="","",IFERROR(VLOOKUP(A130,Empleados!A:B,2,FALSE),""))</f>
        <v/>
      </c>
      <c r="C130" s="7">
        <f>IF(A130="","",IFERROR(VLOOKUP(A130,Empleados!A:J,9,FALSE),""))</f>
        <v/>
      </c>
      <c r="D130" s="7">
        <f>IF(A130="","",IFERROR(VLOOKUP(A130,Empleados!A:I,8,FALSE),""))</f>
        <v/>
      </c>
      <c r="E130" s="7" t="n"/>
      <c r="F130" s="8" t="n"/>
      <c r="G130" s="8" t="n"/>
      <c r="H130" s="9">
        <f>IF(OR(F130="",G130=""),"",G130-F130+1)</f>
        <v/>
      </c>
      <c r="I130" s="7">
        <f>IF(A130="","","PENDIENTE")</f>
        <v/>
      </c>
      <c r="J130" s="7" t="n"/>
      <c r="K130" s="7">
        <f>IF(A130="","",A130&amp;"|"&amp;TEXT(F130,"yyyymmdd")&amp;"|"&amp;TEXT(G130,"yyyymmdd"))</f>
        <v/>
      </c>
    </row>
    <row r="131">
      <c r="A131" s="7" t="n"/>
      <c r="B131" s="7">
        <f>IF(A131="","",IFERROR(VLOOKUP(A131,Empleados!A:B,2,FALSE),""))</f>
        <v/>
      </c>
      <c r="C131" s="7">
        <f>IF(A131="","",IFERROR(VLOOKUP(A131,Empleados!A:J,9,FALSE),""))</f>
        <v/>
      </c>
      <c r="D131" s="7">
        <f>IF(A131="","",IFERROR(VLOOKUP(A131,Empleados!A:I,8,FALSE),""))</f>
        <v/>
      </c>
      <c r="E131" s="7" t="n"/>
      <c r="F131" s="8" t="n"/>
      <c r="G131" s="8" t="n"/>
      <c r="H131" s="9">
        <f>IF(OR(F131="",G131=""),"",G131-F131+1)</f>
        <v/>
      </c>
      <c r="I131" s="7">
        <f>IF(A131="","","PENDIENTE")</f>
        <v/>
      </c>
      <c r="J131" s="7" t="n"/>
      <c r="K131" s="7">
        <f>IF(A131="","",A131&amp;"|"&amp;TEXT(F131,"yyyymmdd")&amp;"|"&amp;TEXT(G131,"yyyymmdd"))</f>
        <v/>
      </c>
    </row>
    <row r="132">
      <c r="A132" s="7" t="n"/>
      <c r="B132" s="7">
        <f>IF(A132="","",IFERROR(VLOOKUP(A132,Empleados!A:B,2,FALSE),""))</f>
        <v/>
      </c>
      <c r="C132" s="7">
        <f>IF(A132="","",IFERROR(VLOOKUP(A132,Empleados!A:J,9,FALSE),""))</f>
        <v/>
      </c>
      <c r="D132" s="7">
        <f>IF(A132="","",IFERROR(VLOOKUP(A132,Empleados!A:I,8,FALSE),""))</f>
        <v/>
      </c>
      <c r="E132" s="7" t="n"/>
      <c r="F132" s="8" t="n"/>
      <c r="G132" s="8" t="n"/>
      <c r="H132" s="9">
        <f>IF(OR(F132="",G132=""),"",G132-F132+1)</f>
        <v/>
      </c>
      <c r="I132" s="7">
        <f>IF(A132="","","PENDIENTE")</f>
        <v/>
      </c>
      <c r="J132" s="7" t="n"/>
      <c r="K132" s="7">
        <f>IF(A132="","",A132&amp;"|"&amp;TEXT(F132,"yyyymmdd")&amp;"|"&amp;TEXT(G132,"yyyymmdd"))</f>
        <v/>
      </c>
    </row>
    <row r="133">
      <c r="A133" s="7" t="n"/>
      <c r="B133" s="7">
        <f>IF(A133="","",IFERROR(VLOOKUP(A133,Empleados!A:B,2,FALSE),""))</f>
        <v/>
      </c>
      <c r="C133" s="7">
        <f>IF(A133="","",IFERROR(VLOOKUP(A133,Empleados!A:J,9,FALSE),""))</f>
        <v/>
      </c>
      <c r="D133" s="7">
        <f>IF(A133="","",IFERROR(VLOOKUP(A133,Empleados!A:I,8,FALSE),""))</f>
        <v/>
      </c>
      <c r="E133" s="7" t="n"/>
      <c r="F133" s="8" t="n"/>
      <c r="G133" s="8" t="n"/>
      <c r="H133" s="9">
        <f>IF(OR(F133="",G133=""),"",G133-F133+1)</f>
        <v/>
      </c>
      <c r="I133" s="7">
        <f>IF(A133="","","PENDIENTE")</f>
        <v/>
      </c>
      <c r="J133" s="7" t="n"/>
      <c r="K133" s="7">
        <f>IF(A133="","",A133&amp;"|"&amp;TEXT(F133,"yyyymmdd")&amp;"|"&amp;TEXT(G133,"yyyymmdd"))</f>
        <v/>
      </c>
    </row>
    <row r="134">
      <c r="A134" s="7" t="n"/>
      <c r="B134" s="7">
        <f>IF(A134="","",IFERROR(VLOOKUP(A134,Empleados!A:B,2,FALSE),""))</f>
        <v/>
      </c>
      <c r="C134" s="7">
        <f>IF(A134="","",IFERROR(VLOOKUP(A134,Empleados!A:J,9,FALSE),""))</f>
        <v/>
      </c>
      <c r="D134" s="7">
        <f>IF(A134="","",IFERROR(VLOOKUP(A134,Empleados!A:I,8,FALSE),""))</f>
        <v/>
      </c>
      <c r="E134" s="7" t="n"/>
      <c r="F134" s="8" t="n"/>
      <c r="G134" s="8" t="n"/>
      <c r="H134" s="9">
        <f>IF(OR(F134="",G134=""),"",G134-F134+1)</f>
        <v/>
      </c>
      <c r="I134" s="7">
        <f>IF(A134="","","PENDIENTE")</f>
        <v/>
      </c>
      <c r="J134" s="7" t="n"/>
      <c r="K134" s="7">
        <f>IF(A134="","",A134&amp;"|"&amp;TEXT(F134,"yyyymmdd")&amp;"|"&amp;TEXT(G134,"yyyymmdd"))</f>
        <v/>
      </c>
    </row>
    <row r="135">
      <c r="A135" s="7" t="n"/>
      <c r="B135" s="7">
        <f>IF(A135="","",IFERROR(VLOOKUP(A135,Empleados!A:B,2,FALSE),""))</f>
        <v/>
      </c>
      <c r="C135" s="7">
        <f>IF(A135="","",IFERROR(VLOOKUP(A135,Empleados!A:J,9,FALSE),""))</f>
        <v/>
      </c>
      <c r="D135" s="7">
        <f>IF(A135="","",IFERROR(VLOOKUP(A135,Empleados!A:I,8,FALSE),""))</f>
        <v/>
      </c>
      <c r="E135" s="7" t="n"/>
      <c r="F135" s="8" t="n"/>
      <c r="G135" s="8" t="n"/>
      <c r="H135" s="9">
        <f>IF(OR(F135="",G135=""),"",G135-F135+1)</f>
        <v/>
      </c>
      <c r="I135" s="7">
        <f>IF(A135="","","PENDIENTE")</f>
        <v/>
      </c>
      <c r="J135" s="7" t="n"/>
      <c r="K135" s="7">
        <f>IF(A135="","",A135&amp;"|"&amp;TEXT(F135,"yyyymmdd")&amp;"|"&amp;TEXT(G135,"yyyymmdd"))</f>
        <v/>
      </c>
    </row>
    <row r="136">
      <c r="A136" s="7" t="n"/>
      <c r="B136" s="7">
        <f>IF(A136="","",IFERROR(VLOOKUP(A136,Empleados!A:B,2,FALSE),""))</f>
        <v/>
      </c>
      <c r="C136" s="7">
        <f>IF(A136="","",IFERROR(VLOOKUP(A136,Empleados!A:J,9,FALSE),""))</f>
        <v/>
      </c>
      <c r="D136" s="7">
        <f>IF(A136="","",IFERROR(VLOOKUP(A136,Empleados!A:I,8,FALSE),""))</f>
        <v/>
      </c>
      <c r="E136" s="7" t="n"/>
      <c r="F136" s="8" t="n"/>
      <c r="G136" s="8" t="n"/>
      <c r="H136" s="9">
        <f>IF(OR(F136="",G136=""),"",G136-F136+1)</f>
        <v/>
      </c>
      <c r="I136" s="7">
        <f>IF(A136="","","PENDIENTE")</f>
        <v/>
      </c>
      <c r="J136" s="7" t="n"/>
      <c r="K136" s="7">
        <f>IF(A136="","",A136&amp;"|"&amp;TEXT(F136,"yyyymmdd")&amp;"|"&amp;TEXT(G136,"yyyymmdd"))</f>
        <v/>
      </c>
    </row>
    <row r="137">
      <c r="A137" s="7" t="n"/>
      <c r="B137" s="7">
        <f>IF(A137="","",IFERROR(VLOOKUP(A137,Empleados!A:B,2,FALSE),""))</f>
        <v/>
      </c>
      <c r="C137" s="7">
        <f>IF(A137="","",IFERROR(VLOOKUP(A137,Empleados!A:J,9,FALSE),""))</f>
        <v/>
      </c>
      <c r="D137" s="7">
        <f>IF(A137="","",IFERROR(VLOOKUP(A137,Empleados!A:I,8,FALSE),""))</f>
        <v/>
      </c>
      <c r="E137" s="7" t="n"/>
      <c r="F137" s="8" t="n"/>
      <c r="G137" s="8" t="n"/>
      <c r="H137" s="9">
        <f>IF(OR(F137="",G137=""),"",G137-F137+1)</f>
        <v/>
      </c>
      <c r="I137" s="7">
        <f>IF(A137="","","PENDIENTE")</f>
        <v/>
      </c>
      <c r="J137" s="7" t="n"/>
      <c r="K137" s="7">
        <f>IF(A137="","",A137&amp;"|"&amp;TEXT(F137,"yyyymmdd")&amp;"|"&amp;TEXT(G137,"yyyymmdd"))</f>
        <v/>
      </c>
    </row>
    <row r="138">
      <c r="A138" s="7" t="n"/>
      <c r="B138" s="7">
        <f>IF(A138="","",IFERROR(VLOOKUP(A138,Empleados!A:B,2,FALSE),""))</f>
        <v/>
      </c>
      <c r="C138" s="7">
        <f>IF(A138="","",IFERROR(VLOOKUP(A138,Empleados!A:J,9,FALSE),""))</f>
        <v/>
      </c>
      <c r="D138" s="7">
        <f>IF(A138="","",IFERROR(VLOOKUP(A138,Empleados!A:I,8,FALSE),""))</f>
        <v/>
      </c>
      <c r="E138" s="7" t="n"/>
      <c r="F138" s="8" t="n"/>
      <c r="G138" s="8" t="n"/>
      <c r="H138" s="9">
        <f>IF(OR(F138="",G138=""),"",G138-F138+1)</f>
        <v/>
      </c>
      <c r="I138" s="7">
        <f>IF(A138="","","PENDIENTE")</f>
        <v/>
      </c>
      <c r="J138" s="7" t="n"/>
      <c r="K138" s="7">
        <f>IF(A138="","",A138&amp;"|"&amp;TEXT(F138,"yyyymmdd")&amp;"|"&amp;TEXT(G138,"yyyymmdd"))</f>
        <v/>
      </c>
    </row>
    <row r="139">
      <c r="A139" s="7" t="n"/>
      <c r="B139" s="7">
        <f>IF(A139="","",IFERROR(VLOOKUP(A139,Empleados!A:B,2,FALSE),""))</f>
        <v/>
      </c>
      <c r="C139" s="7">
        <f>IF(A139="","",IFERROR(VLOOKUP(A139,Empleados!A:J,9,FALSE),""))</f>
        <v/>
      </c>
      <c r="D139" s="7">
        <f>IF(A139="","",IFERROR(VLOOKUP(A139,Empleados!A:I,8,FALSE),""))</f>
        <v/>
      </c>
      <c r="E139" s="7" t="n"/>
      <c r="F139" s="8" t="n"/>
      <c r="G139" s="8" t="n"/>
      <c r="H139" s="9">
        <f>IF(OR(F139="",G139=""),"",G139-F139+1)</f>
        <v/>
      </c>
      <c r="I139" s="7">
        <f>IF(A139="","","PENDIENTE")</f>
        <v/>
      </c>
      <c r="J139" s="7" t="n"/>
      <c r="K139" s="7">
        <f>IF(A139="","",A139&amp;"|"&amp;TEXT(F139,"yyyymmdd")&amp;"|"&amp;TEXT(G139,"yyyymmdd"))</f>
        <v/>
      </c>
    </row>
    <row r="140">
      <c r="A140" s="7" t="n"/>
      <c r="B140" s="7">
        <f>IF(A140="","",IFERROR(VLOOKUP(A140,Empleados!A:B,2,FALSE),""))</f>
        <v/>
      </c>
      <c r="C140" s="7">
        <f>IF(A140="","",IFERROR(VLOOKUP(A140,Empleados!A:J,9,FALSE),""))</f>
        <v/>
      </c>
      <c r="D140" s="7">
        <f>IF(A140="","",IFERROR(VLOOKUP(A140,Empleados!A:I,8,FALSE),""))</f>
        <v/>
      </c>
      <c r="E140" s="7" t="n"/>
      <c r="F140" s="8" t="n"/>
      <c r="G140" s="8" t="n"/>
      <c r="H140" s="9">
        <f>IF(OR(F140="",G140=""),"",G140-F140+1)</f>
        <v/>
      </c>
      <c r="I140" s="7">
        <f>IF(A140="","","PENDIENTE")</f>
        <v/>
      </c>
      <c r="J140" s="7" t="n"/>
      <c r="K140" s="7">
        <f>IF(A140="","",A140&amp;"|"&amp;TEXT(F140,"yyyymmdd")&amp;"|"&amp;TEXT(G140,"yyyymmdd"))</f>
        <v/>
      </c>
    </row>
    <row r="141">
      <c r="A141" s="7" t="n"/>
      <c r="B141" s="7">
        <f>IF(A141="","",IFERROR(VLOOKUP(A141,Empleados!A:B,2,FALSE),""))</f>
        <v/>
      </c>
      <c r="C141" s="7">
        <f>IF(A141="","",IFERROR(VLOOKUP(A141,Empleados!A:J,9,FALSE),""))</f>
        <v/>
      </c>
      <c r="D141" s="7">
        <f>IF(A141="","",IFERROR(VLOOKUP(A141,Empleados!A:I,8,FALSE),""))</f>
        <v/>
      </c>
      <c r="E141" s="7" t="n"/>
      <c r="F141" s="8" t="n"/>
      <c r="G141" s="8" t="n"/>
      <c r="H141" s="9">
        <f>IF(OR(F141="",G141=""),"",G141-F141+1)</f>
        <v/>
      </c>
      <c r="I141" s="7">
        <f>IF(A141="","","PENDIENTE")</f>
        <v/>
      </c>
      <c r="J141" s="7" t="n"/>
      <c r="K141" s="7">
        <f>IF(A141="","",A141&amp;"|"&amp;TEXT(F141,"yyyymmdd")&amp;"|"&amp;TEXT(G141,"yyyymmdd"))</f>
        <v/>
      </c>
    </row>
    <row r="142">
      <c r="A142" s="7" t="n"/>
      <c r="B142" s="7">
        <f>IF(A142="","",IFERROR(VLOOKUP(A142,Empleados!A:B,2,FALSE),""))</f>
        <v/>
      </c>
      <c r="C142" s="7">
        <f>IF(A142="","",IFERROR(VLOOKUP(A142,Empleados!A:J,9,FALSE),""))</f>
        <v/>
      </c>
      <c r="D142" s="7">
        <f>IF(A142="","",IFERROR(VLOOKUP(A142,Empleados!A:I,8,FALSE),""))</f>
        <v/>
      </c>
      <c r="E142" s="7" t="n"/>
      <c r="F142" s="8" t="n"/>
      <c r="G142" s="8" t="n"/>
      <c r="H142" s="9">
        <f>IF(OR(F142="",G142=""),"",G142-F142+1)</f>
        <v/>
      </c>
      <c r="I142" s="7">
        <f>IF(A142="","","PENDIENTE")</f>
        <v/>
      </c>
      <c r="J142" s="7" t="n"/>
      <c r="K142" s="7">
        <f>IF(A142="","",A142&amp;"|"&amp;TEXT(F142,"yyyymmdd")&amp;"|"&amp;TEXT(G142,"yyyymmdd"))</f>
        <v/>
      </c>
    </row>
    <row r="143">
      <c r="A143" s="7" t="n"/>
      <c r="B143" s="7">
        <f>IF(A143="","",IFERROR(VLOOKUP(A143,Empleados!A:B,2,FALSE),""))</f>
        <v/>
      </c>
      <c r="C143" s="7">
        <f>IF(A143="","",IFERROR(VLOOKUP(A143,Empleados!A:J,9,FALSE),""))</f>
        <v/>
      </c>
      <c r="D143" s="7">
        <f>IF(A143="","",IFERROR(VLOOKUP(A143,Empleados!A:I,8,FALSE),""))</f>
        <v/>
      </c>
      <c r="E143" s="7" t="n"/>
      <c r="F143" s="8" t="n"/>
      <c r="G143" s="8" t="n"/>
      <c r="H143" s="9">
        <f>IF(OR(F143="",G143=""),"",G143-F143+1)</f>
        <v/>
      </c>
      <c r="I143" s="7">
        <f>IF(A143="","","PENDIENTE")</f>
        <v/>
      </c>
      <c r="J143" s="7" t="n"/>
      <c r="K143" s="7">
        <f>IF(A143="","",A143&amp;"|"&amp;TEXT(F143,"yyyymmdd")&amp;"|"&amp;TEXT(G143,"yyyymmdd"))</f>
        <v/>
      </c>
    </row>
    <row r="144">
      <c r="A144" s="7" t="n"/>
      <c r="B144" s="7">
        <f>IF(A144="","",IFERROR(VLOOKUP(A144,Empleados!A:B,2,FALSE),""))</f>
        <v/>
      </c>
      <c r="C144" s="7">
        <f>IF(A144="","",IFERROR(VLOOKUP(A144,Empleados!A:J,9,FALSE),""))</f>
        <v/>
      </c>
      <c r="D144" s="7">
        <f>IF(A144="","",IFERROR(VLOOKUP(A144,Empleados!A:I,8,FALSE),""))</f>
        <v/>
      </c>
      <c r="E144" s="7" t="n"/>
      <c r="F144" s="8" t="n"/>
      <c r="G144" s="8" t="n"/>
      <c r="H144" s="9">
        <f>IF(OR(F144="",G144=""),"",G144-F144+1)</f>
        <v/>
      </c>
      <c r="I144" s="7">
        <f>IF(A144="","","PENDIENTE")</f>
        <v/>
      </c>
      <c r="J144" s="7" t="n"/>
      <c r="K144" s="7">
        <f>IF(A144="","",A144&amp;"|"&amp;TEXT(F144,"yyyymmdd")&amp;"|"&amp;TEXT(G144,"yyyymmdd"))</f>
        <v/>
      </c>
    </row>
    <row r="145">
      <c r="A145" s="7" t="n"/>
      <c r="B145" s="7">
        <f>IF(A145="","",IFERROR(VLOOKUP(A145,Empleados!A:B,2,FALSE),""))</f>
        <v/>
      </c>
      <c r="C145" s="7">
        <f>IF(A145="","",IFERROR(VLOOKUP(A145,Empleados!A:J,9,FALSE),""))</f>
        <v/>
      </c>
      <c r="D145" s="7">
        <f>IF(A145="","",IFERROR(VLOOKUP(A145,Empleados!A:I,8,FALSE),""))</f>
        <v/>
      </c>
      <c r="E145" s="7" t="n"/>
      <c r="F145" s="8" t="n"/>
      <c r="G145" s="8" t="n"/>
      <c r="H145" s="9">
        <f>IF(OR(F145="",G145=""),"",G145-F145+1)</f>
        <v/>
      </c>
      <c r="I145" s="7">
        <f>IF(A145="","","PENDIENTE")</f>
        <v/>
      </c>
      <c r="J145" s="7" t="n"/>
      <c r="K145" s="7">
        <f>IF(A145="","",A145&amp;"|"&amp;TEXT(F145,"yyyymmdd")&amp;"|"&amp;TEXT(G145,"yyyymmdd"))</f>
        <v/>
      </c>
    </row>
    <row r="146">
      <c r="A146" s="7" t="n"/>
      <c r="B146" s="7">
        <f>IF(A146="","",IFERROR(VLOOKUP(A146,Empleados!A:B,2,FALSE),""))</f>
        <v/>
      </c>
      <c r="C146" s="7">
        <f>IF(A146="","",IFERROR(VLOOKUP(A146,Empleados!A:J,9,FALSE),""))</f>
        <v/>
      </c>
      <c r="D146" s="7">
        <f>IF(A146="","",IFERROR(VLOOKUP(A146,Empleados!A:I,8,FALSE),""))</f>
        <v/>
      </c>
      <c r="E146" s="7" t="n"/>
      <c r="F146" s="8" t="n"/>
      <c r="G146" s="8" t="n"/>
      <c r="H146" s="9">
        <f>IF(OR(F146="",G146=""),"",G146-F146+1)</f>
        <v/>
      </c>
      <c r="I146" s="7">
        <f>IF(A146="","","PENDIENTE")</f>
        <v/>
      </c>
      <c r="J146" s="7" t="n"/>
      <c r="K146" s="7">
        <f>IF(A146="","",A146&amp;"|"&amp;TEXT(F146,"yyyymmdd")&amp;"|"&amp;TEXT(G146,"yyyymmdd"))</f>
        <v/>
      </c>
    </row>
    <row r="147">
      <c r="A147" s="7" t="n"/>
      <c r="B147" s="7">
        <f>IF(A147="","",IFERROR(VLOOKUP(A147,Empleados!A:B,2,FALSE),""))</f>
        <v/>
      </c>
      <c r="C147" s="7">
        <f>IF(A147="","",IFERROR(VLOOKUP(A147,Empleados!A:J,9,FALSE),""))</f>
        <v/>
      </c>
      <c r="D147" s="7">
        <f>IF(A147="","",IFERROR(VLOOKUP(A147,Empleados!A:I,8,FALSE),""))</f>
        <v/>
      </c>
      <c r="E147" s="7" t="n"/>
      <c r="F147" s="8" t="n"/>
      <c r="G147" s="8" t="n"/>
      <c r="H147" s="9">
        <f>IF(OR(F147="",G147=""),"",G147-F147+1)</f>
        <v/>
      </c>
      <c r="I147" s="7">
        <f>IF(A147="","","PENDIENTE")</f>
        <v/>
      </c>
      <c r="J147" s="7" t="n"/>
      <c r="K147" s="7">
        <f>IF(A147="","",A147&amp;"|"&amp;TEXT(F147,"yyyymmdd")&amp;"|"&amp;TEXT(G147,"yyyymmdd"))</f>
        <v/>
      </c>
    </row>
    <row r="148">
      <c r="A148" s="7" t="n"/>
      <c r="B148" s="7">
        <f>IF(A148="","",IFERROR(VLOOKUP(A148,Empleados!A:B,2,FALSE),""))</f>
        <v/>
      </c>
      <c r="C148" s="7">
        <f>IF(A148="","",IFERROR(VLOOKUP(A148,Empleados!A:J,9,FALSE),""))</f>
        <v/>
      </c>
      <c r="D148" s="7">
        <f>IF(A148="","",IFERROR(VLOOKUP(A148,Empleados!A:I,8,FALSE),""))</f>
        <v/>
      </c>
      <c r="E148" s="7" t="n"/>
      <c r="F148" s="8" t="n"/>
      <c r="G148" s="8" t="n"/>
      <c r="H148" s="9">
        <f>IF(OR(F148="",G148=""),"",G148-F148+1)</f>
        <v/>
      </c>
      <c r="I148" s="7">
        <f>IF(A148="","","PENDIENTE")</f>
        <v/>
      </c>
      <c r="J148" s="7" t="n"/>
      <c r="K148" s="7">
        <f>IF(A148="","",A148&amp;"|"&amp;TEXT(F148,"yyyymmdd")&amp;"|"&amp;TEXT(G148,"yyyymmdd"))</f>
        <v/>
      </c>
    </row>
    <row r="149">
      <c r="A149" s="7" t="n"/>
      <c r="B149" s="7">
        <f>IF(A149="","",IFERROR(VLOOKUP(A149,Empleados!A:B,2,FALSE),""))</f>
        <v/>
      </c>
      <c r="C149" s="7">
        <f>IF(A149="","",IFERROR(VLOOKUP(A149,Empleados!A:J,9,FALSE),""))</f>
        <v/>
      </c>
      <c r="D149" s="7">
        <f>IF(A149="","",IFERROR(VLOOKUP(A149,Empleados!A:I,8,FALSE),""))</f>
        <v/>
      </c>
      <c r="E149" s="7" t="n"/>
      <c r="F149" s="8" t="n"/>
      <c r="G149" s="8" t="n"/>
      <c r="H149" s="9">
        <f>IF(OR(F149="",G149=""),"",G149-F149+1)</f>
        <v/>
      </c>
      <c r="I149" s="7">
        <f>IF(A149="","","PENDIENTE")</f>
        <v/>
      </c>
      <c r="J149" s="7" t="n"/>
      <c r="K149" s="7">
        <f>IF(A149="","",A149&amp;"|"&amp;TEXT(F149,"yyyymmdd")&amp;"|"&amp;TEXT(G149,"yyyymmdd"))</f>
        <v/>
      </c>
    </row>
    <row r="150">
      <c r="A150" s="7" t="n"/>
      <c r="B150" s="7">
        <f>IF(A150="","",IFERROR(VLOOKUP(A150,Empleados!A:B,2,FALSE),""))</f>
        <v/>
      </c>
      <c r="C150" s="7">
        <f>IF(A150="","",IFERROR(VLOOKUP(A150,Empleados!A:J,9,FALSE),""))</f>
        <v/>
      </c>
      <c r="D150" s="7">
        <f>IF(A150="","",IFERROR(VLOOKUP(A150,Empleados!A:I,8,FALSE),""))</f>
        <v/>
      </c>
      <c r="E150" s="7" t="n"/>
      <c r="F150" s="8" t="n"/>
      <c r="G150" s="8" t="n"/>
      <c r="H150" s="9">
        <f>IF(OR(F150="",G150=""),"",G150-F150+1)</f>
        <v/>
      </c>
      <c r="I150" s="7">
        <f>IF(A150="","","PENDIENTE")</f>
        <v/>
      </c>
      <c r="J150" s="7" t="n"/>
      <c r="K150" s="7">
        <f>IF(A150="","",A150&amp;"|"&amp;TEXT(F150,"yyyymmdd")&amp;"|"&amp;TEXT(G150,"yyyymmdd"))</f>
        <v/>
      </c>
    </row>
    <row r="151">
      <c r="A151" s="7" t="n"/>
      <c r="B151" s="7">
        <f>IF(A151="","",IFERROR(VLOOKUP(A151,Empleados!A:B,2,FALSE),""))</f>
        <v/>
      </c>
      <c r="C151" s="7">
        <f>IF(A151="","",IFERROR(VLOOKUP(A151,Empleados!A:J,9,FALSE),""))</f>
        <v/>
      </c>
      <c r="D151" s="7">
        <f>IF(A151="","",IFERROR(VLOOKUP(A151,Empleados!A:I,8,FALSE),""))</f>
        <v/>
      </c>
      <c r="E151" s="7" t="n"/>
      <c r="F151" s="8" t="n"/>
      <c r="G151" s="8" t="n"/>
      <c r="H151" s="9">
        <f>IF(OR(F151="",G151=""),"",G151-F151+1)</f>
        <v/>
      </c>
      <c r="I151" s="7">
        <f>IF(A151="","","PENDIENTE")</f>
        <v/>
      </c>
      <c r="J151" s="7" t="n"/>
      <c r="K151" s="7">
        <f>IF(A151="","",A151&amp;"|"&amp;TEXT(F151,"yyyymmdd")&amp;"|"&amp;TEXT(G151,"yyyymmdd"))</f>
        <v/>
      </c>
    </row>
    <row r="152">
      <c r="A152" s="7" t="n"/>
      <c r="B152" s="7">
        <f>IF(A152="","",IFERROR(VLOOKUP(A152,Empleados!A:B,2,FALSE),""))</f>
        <v/>
      </c>
      <c r="C152" s="7">
        <f>IF(A152="","",IFERROR(VLOOKUP(A152,Empleados!A:J,9,FALSE),""))</f>
        <v/>
      </c>
      <c r="D152" s="7">
        <f>IF(A152="","",IFERROR(VLOOKUP(A152,Empleados!A:I,8,FALSE),""))</f>
        <v/>
      </c>
      <c r="E152" s="7" t="n"/>
      <c r="F152" s="8" t="n"/>
      <c r="G152" s="8" t="n"/>
      <c r="H152" s="9">
        <f>IF(OR(F152="",G152=""),"",G152-F152+1)</f>
        <v/>
      </c>
      <c r="I152" s="7">
        <f>IF(A152="","","PENDIENTE")</f>
        <v/>
      </c>
      <c r="J152" s="7" t="n"/>
      <c r="K152" s="7">
        <f>IF(A152="","",A152&amp;"|"&amp;TEXT(F152,"yyyymmdd")&amp;"|"&amp;TEXT(G152,"yyyymmdd"))</f>
        <v/>
      </c>
    </row>
    <row r="153">
      <c r="A153" s="7" t="n"/>
      <c r="B153" s="7">
        <f>IF(A153="","",IFERROR(VLOOKUP(A153,Empleados!A:B,2,FALSE),""))</f>
        <v/>
      </c>
      <c r="C153" s="7">
        <f>IF(A153="","",IFERROR(VLOOKUP(A153,Empleados!A:J,9,FALSE),""))</f>
        <v/>
      </c>
      <c r="D153" s="7">
        <f>IF(A153="","",IFERROR(VLOOKUP(A153,Empleados!A:I,8,FALSE),""))</f>
        <v/>
      </c>
      <c r="E153" s="7" t="n"/>
      <c r="F153" s="8" t="n"/>
      <c r="G153" s="8" t="n"/>
      <c r="H153" s="9">
        <f>IF(OR(F153="",G153=""),"",G153-F153+1)</f>
        <v/>
      </c>
      <c r="I153" s="7">
        <f>IF(A153="","","PENDIENTE")</f>
        <v/>
      </c>
      <c r="J153" s="7" t="n"/>
      <c r="K153" s="7">
        <f>IF(A153="","",A153&amp;"|"&amp;TEXT(F153,"yyyymmdd")&amp;"|"&amp;TEXT(G153,"yyyymmdd"))</f>
        <v/>
      </c>
    </row>
    <row r="154">
      <c r="A154" s="7" t="n"/>
      <c r="B154" s="7">
        <f>IF(A154="","",IFERROR(VLOOKUP(A154,Empleados!A:B,2,FALSE),""))</f>
        <v/>
      </c>
      <c r="C154" s="7">
        <f>IF(A154="","",IFERROR(VLOOKUP(A154,Empleados!A:J,9,FALSE),""))</f>
        <v/>
      </c>
      <c r="D154" s="7">
        <f>IF(A154="","",IFERROR(VLOOKUP(A154,Empleados!A:I,8,FALSE),""))</f>
        <v/>
      </c>
      <c r="E154" s="7" t="n"/>
      <c r="F154" s="8" t="n"/>
      <c r="G154" s="8" t="n"/>
      <c r="H154" s="9">
        <f>IF(OR(F154="",G154=""),"",G154-F154+1)</f>
        <v/>
      </c>
      <c r="I154" s="7">
        <f>IF(A154="","","PENDIENTE")</f>
        <v/>
      </c>
      <c r="J154" s="7" t="n"/>
      <c r="K154" s="7">
        <f>IF(A154="","",A154&amp;"|"&amp;TEXT(F154,"yyyymmdd")&amp;"|"&amp;TEXT(G154,"yyyymmdd"))</f>
        <v/>
      </c>
    </row>
    <row r="155">
      <c r="A155" s="7" t="n"/>
      <c r="B155" s="7">
        <f>IF(A155="","",IFERROR(VLOOKUP(A155,Empleados!A:B,2,FALSE),""))</f>
        <v/>
      </c>
      <c r="C155" s="7">
        <f>IF(A155="","",IFERROR(VLOOKUP(A155,Empleados!A:J,9,FALSE),""))</f>
        <v/>
      </c>
      <c r="D155" s="7">
        <f>IF(A155="","",IFERROR(VLOOKUP(A155,Empleados!A:I,8,FALSE),""))</f>
        <v/>
      </c>
      <c r="E155" s="7" t="n"/>
      <c r="F155" s="8" t="n"/>
      <c r="G155" s="8" t="n"/>
      <c r="H155" s="9">
        <f>IF(OR(F155="",G155=""),"",G155-F155+1)</f>
        <v/>
      </c>
      <c r="I155" s="7">
        <f>IF(A155="","","PENDIENTE")</f>
        <v/>
      </c>
      <c r="J155" s="7" t="n"/>
      <c r="K155" s="7">
        <f>IF(A155="","",A155&amp;"|"&amp;TEXT(F155,"yyyymmdd")&amp;"|"&amp;TEXT(G155,"yyyymmdd"))</f>
        <v/>
      </c>
    </row>
    <row r="156">
      <c r="A156" s="7" t="n"/>
      <c r="B156" s="7">
        <f>IF(A156="","",IFERROR(VLOOKUP(A156,Empleados!A:B,2,FALSE),""))</f>
        <v/>
      </c>
      <c r="C156" s="7">
        <f>IF(A156="","",IFERROR(VLOOKUP(A156,Empleados!A:J,9,FALSE),""))</f>
        <v/>
      </c>
      <c r="D156" s="7">
        <f>IF(A156="","",IFERROR(VLOOKUP(A156,Empleados!A:I,8,FALSE),""))</f>
        <v/>
      </c>
      <c r="E156" s="7" t="n"/>
      <c r="F156" s="8" t="n"/>
      <c r="G156" s="8" t="n"/>
      <c r="H156" s="9">
        <f>IF(OR(F156="",G156=""),"",G156-F156+1)</f>
        <v/>
      </c>
      <c r="I156" s="7">
        <f>IF(A156="","","PENDIENTE")</f>
        <v/>
      </c>
      <c r="J156" s="7" t="n"/>
      <c r="K156" s="7">
        <f>IF(A156="","",A156&amp;"|"&amp;TEXT(F156,"yyyymmdd")&amp;"|"&amp;TEXT(G156,"yyyymmdd"))</f>
        <v/>
      </c>
    </row>
    <row r="157">
      <c r="A157" s="7" t="n"/>
      <c r="B157" s="7">
        <f>IF(A157="","",IFERROR(VLOOKUP(A157,Empleados!A:B,2,FALSE),""))</f>
        <v/>
      </c>
      <c r="C157" s="7">
        <f>IF(A157="","",IFERROR(VLOOKUP(A157,Empleados!A:J,9,FALSE),""))</f>
        <v/>
      </c>
      <c r="D157" s="7">
        <f>IF(A157="","",IFERROR(VLOOKUP(A157,Empleados!A:I,8,FALSE),""))</f>
        <v/>
      </c>
      <c r="E157" s="7" t="n"/>
      <c r="F157" s="8" t="n"/>
      <c r="G157" s="8" t="n"/>
      <c r="H157" s="9">
        <f>IF(OR(F157="",G157=""),"",G157-F157+1)</f>
        <v/>
      </c>
      <c r="I157" s="7">
        <f>IF(A157="","","PENDIENTE")</f>
        <v/>
      </c>
      <c r="J157" s="7" t="n"/>
      <c r="K157" s="7">
        <f>IF(A157="","",A157&amp;"|"&amp;TEXT(F157,"yyyymmdd")&amp;"|"&amp;TEXT(G157,"yyyymmdd"))</f>
        <v/>
      </c>
    </row>
    <row r="158">
      <c r="A158" s="7" t="n"/>
      <c r="B158" s="7">
        <f>IF(A158="","",IFERROR(VLOOKUP(A158,Empleados!A:B,2,FALSE),""))</f>
        <v/>
      </c>
      <c r="C158" s="7">
        <f>IF(A158="","",IFERROR(VLOOKUP(A158,Empleados!A:J,9,FALSE),""))</f>
        <v/>
      </c>
      <c r="D158" s="7">
        <f>IF(A158="","",IFERROR(VLOOKUP(A158,Empleados!A:I,8,FALSE),""))</f>
        <v/>
      </c>
      <c r="E158" s="7" t="n"/>
      <c r="F158" s="8" t="n"/>
      <c r="G158" s="8" t="n"/>
      <c r="H158" s="9">
        <f>IF(OR(F158="",G158=""),"",G158-F158+1)</f>
        <v/>
      </c>
      <c r="I158" s="7">
        <f>IF(A158="","","PENDIENTE")</f>
        <v/>
      </c>
      <c r="J158" s="7" t="n"/>
      <c r="K158" s="7">
        <f>IF(A158="","",A158&amp;"|"&amp;TEXT(F158,"yyyymmdd")&amp;"|"&amp;TEXT(G158,"yyyymmdd"))</f>
        <v/>
      </c>
    </row>
    <row r="159">
      <c r="A159" s="7" t="n"/>
      <c r="B159" s="7">
        <f>IF(A159="","",IFERROR(VLOOKUP(A159,Empleados!A:B,2,FALSE),""))</f>
        <v/>
      </c>
      <c r="C159" s="7">
        <f>IF(A159="","",IFERROR(VLOOKUP(A159,Empleados!A:J,9,FALSE),""))</f>
        <v/>
      </c>
      <c r="D159" s="7">
        <f>IF(A159="","",IFERROR(VLOOKUP(A159,Empleados!A:I,8,FALSE),""))</f>
        <v/>
      </c>
      <c r="E159" s="7" t="n"/>
      <c r="F159" s="8" t="n"/>
      <c r="G159" s="8" t="n"/>
      <c r="H159" s="9">
        <f>IF(OR(F159="",G159=""),"",G159-F159+1)</f>
        <v/>
      </c>
      <c r="I159" s="7">
        <f>IF(A159="","","PENDIENTE")</f>
        <v/>
      </c>
      <c r="J159" s="7" t="n"/>
      <c r="K159" s="7">
        <f>IF(A159="","",A159&amp;"|"&amp;TEXT(F159,"yyyymmdd")&amp;"|"&amp;TEXT(G159,"yyyymmdd"))</f>
        <v/>
      </c>
    </row>
    <row r="160">
      <c r="A160" s="7" t="n"/>
      <c r="B160" s="7">
        <f>IF(A160="","",IFERROR(VLOOKUP(A160,Empleados!A:B,2,FALSE),""))</f>
        <v/>
      </c>
      <c r="C160" s="7">
        <f>IF(A160="","",IFERROR(VLOOKUP(A160,Empleados!A:J,9,FALSE),""))</f>
        <v/>
      </c>
      <c r="D160" s="7">
        <f>IF(A160="","",IFERROR(VLOOKUP(A160,Empleados!A:I,8,FALSE),""))</f>
        <v/>
      </c>
      <c r="E160" s="7" t="n"/>
      <c r="F160" s="8" t="n"/>
      <c r="G160" s="8" t="n"/>
      <c r="H160" s="9">
        <f>IF(OR(F160="",G160=""),"",G160-F160+1)</f>
        <v/>
      </c>
      <c r="I160" s="7">
        <f>IF(A160="","","PENDIENTE")</f>
        <v/>
      </c>
      <c r="J160" s="7" t="n"/>
      <c r="K160" s="7">
        <f>IF(A160="","",A160&amp;"|"&amp;TEXT(F160,"yyyymmdd")&amp;"|"&amp;TEXT(G160,"yyyymmdd"))</f>
        <v/>
      </c>
    </row>
    <row r="161">
      <c r="A161" s="7" t="n"/>
      <c r="B161" s="7">
        <f>IF(A161="","",IFERROR(VLOOKUP(A161,Empleados!A:B,2,FALSE),""))</f>
        <v/>
      </c>
      <c r="C161" s="7">
        <f>IF(A161="","",IFERROR(VLOOKUP(A161,Empleados!A:J,9,FALSE),""))</f>
        <v/>
      </c>
      <c r="D161" s="7">
        <f>IF(A161="","",IFERROR(VLOOKUP(A161,Empleados!A:I,8,FALSE),""))</f>
        <v/>
      </c>
      <c r="E161" s="7" t="n"/>
      <c r="F161" s="8" t="n"/>
      <c r="G161" s="8" t="n"/>
      <c r="H161" s="9">
        <f>IF(OR(F161="",G161=""),"",G161-F161+1)</f>
        <v/>
      </c>
      <c r="I161" s="7">
        <f>IF(A161="","","PENDIENTE")</f>
        <v/>
      </c>
      <c r="J161" s="7" t="n"/>
      <c r="K161" s="7">
        <f>IF(A161="","",A161&amp;"|"&amp;TEXT(F161,"yyyymmdd")&amp;"|"&amp;TEXT(G161,"yyyymmdd"))</f>
        <v/>
      </c>
    </row>
    <row r="162">
      <c r="A162" s="7" t="n"/>
      <c r="B162" s="7">
        <f>IF(A162="","",IFERROR(VLOOKUP(A162,Empleados!A:B,2,FALSE),""))</f>
        <v/>
      </c>
      <c r="C162" s="7">
        <f>IF(A162="","",IFERROR(VLOOKUP(A162,Empleados!A:J,9,FALSE),""))</f>
        <v/>
      </c>
      <c r="D162" s="7">
        <f>IF(A162="","",IFERROR(VLOOKUP(A162,Empleados!A:I,8,FALSE),""))</f>
        <v/>
      </c>
      <c r="E162" s="7" t="n"/>
      <c r="F162" s="8" t="n"/>
      <c r="G162" s="8" t="n"/>
      <c r="H162" s="9">
        <f>IF(OR(F162="",G162=""),"",G162-F162+1)</f>
        <v/>
      </c>
      <c r="I162" s="7">
        <f>IF(A162="","","PENDIENTE")</f>
        <v/>
      </c>
      <c r="J162" s="7" t="n"/>
      <c r="K162" s="7">
        <f>IF(A162="","",A162&amp;"|"&amp;TEXT(F162,"yyyymmdd")&amp;"|"&amp;TEXT(G162,"yyyymmdd"))</f>
        <v/>
      </c>
    </row>
    <row r="163">
      <c r="A163" s="7" t="n"/>
      <c r="B163" s="7">
        <f>IF(A163="","",IFERROR(VLOOKUP(A163,Empleados!A:B,2,FALSE),""))</f>
        <v/>
      </c>
      <c r="C163" s="7">
        <f>IF(A163="","",IFERROR(VLOOKUP(A163,Empleados!A:J,9,FALSE),""))</f>
        <v/>
      </c>
      <c r="D163" s="7">
        <f>IF(A163="","",IFERROR(VLOOKUP(A163,Empleados!A:I,8,FALSE),""))</f>
        <v/>
      </c>
      <c r="E163" s="7" t="n"/>
      <c r="F163" s="8" t="n"/>
      <c r="G163" s="8" t="n"/>
      <c r="H163" s="9">
        <f>IF(OR(F163="",G163=""),"",G163-F163+1)</f>
        <v/>
      </c>
      <c r="I163" s="7">
        <f>IF(A163="","","PENDIENTE")</f>
        <v/>
      </c>
      <c r="J163" s="7" t="n"/>
      <c r="K163" s="7">
        <f>IF(A163="","",A163&amp;"|"&amp;TEXT(F163,"yyyymmdd")&amp;"|"&amp;TEXT(G163,"yyyymmdd"))</f>
        <v/>
      </c>
    </row>
    <row r="164">
      <c r="A164" s="7" t="n"/>
      <c r="B164" s="7">
        <f>IF(A164="","",IFERROR(VLOOKUP(A164,Empleados!A:B,2,FALSE),""))</f>
        <v/>
      </c>
      <c r="C164" s="7">
        <f>IF(A164="","",IFERROR(VLOOKUP(A164,Empleados!A:J,9,FALSE),""))</f>
        <v/>
      </c>
      <c r="D164" s="7">
        <f>IF(A164="","",IFERROR(VLOOKUP(A164,Empleados!A:I,8,FALSE),""))</f>
        <v/>
      </c>
      <c r="E164" s="7" t="n"/>
      <c r="F164" s="8" t="n"/>
      <c r="G164" s="8" t="n"/>
      <c r="H164" s="9">
        <f>IF(OR(F164="",G164=""),"",G164-F164+1)</f>
        <v/>
      </c>
      <c r="I164" s="7">
        <f>IF(A164="","","PENDIENTE")</f>
        <v/>
      </c>
      <c r="J164" s="7" t="n"/>
      <c r="K164" s="7">
        <f>IF(A164="","",A164&amp;"|"&amp;TEXT(F164,"yyyymmdd")&amp;"|"&amp;TEXT(G164,"yyyymmdd"))</f>
        <v/>
      </c>
    </row>
    <row r="165">
      <c r="A165" s="7" t="n"/>
      <c r="B165" s="7">
        <f>IF(A165="","",IFERROR(VLOOKUP(A165,Empleados!A:B,2,FALSE),""))</f>
        <v/>
      </c>
      <c r="C165" s="7">
        <f>IF(A165="","",IFERROR(VLOOKUP(A165,Empleados!A:J,9,FALSE),""))</f>
        <v/>
      </c>
      <c r="D165" s="7">
        <f>IF(A165="","",IFERROR(VLOOKUP(A165,Empleados!A:I,8,FALSE),""))</f>
        <v/>
      </c>
      <c r="E165" s="7" t="n"/>
      <c r="F165" s="8" t="n"/>
      <c r="G165" s="8" t="n"/>
      <c r="H165" s="9">
        <f>IF(OR(F165="",G165=""),"",G165-F165+1)</f>
        <v/>
      </c>
      <c r="I165" s="7">
        <f>IF(A165="","","PENDIENTE")</f>
        <v/>
      </c>
      <c r="J165" s="7" t="n"/>
      <c r="K165" s="7">
        <f>IF(A165="","",A165&amp;"|"&amp;TEXT(F165,"yyyymmdd")&amp;"|"&amp;TEXT(G165,"yyyymmdd"))</f>
        <v/>
      </c>
    </row>
    <row r="166">
      <c r="A166" s="7" t="n"/>
      <c r="B166" s="7">
        <f>IF(A166="","",IFERROR(VLOOKUP(A166,Empleados!A:B,2,FALSE),""))</f>
        <v/>
      </c>
      <c r="C166" s="7">
        <f>IF(A166="","",IFERROR(VLOOKUP(A166,Empleados!A:J,9,FALSE),""))</f>
        <v/>
      </c>
      <c r="D166" s="7">
        <f>IF(A166="","",IFERROR(VLOOKUP(A166,Empleados!A:I,8,FALSE),""))</f>
        <v/>
      </c>
      <c r="E166" s="7" t="n"/>
      <c r="F166" s="8" t="n"/>
      <c r="G166" s="8" t="n"/>
      <c r="H166" s="9">
        <f>IF(OR(F166="",G166=""),"",G166-F166+1)</f>
        <v/>
      </c>
      <c r="I166" s="7">
        <f>IF(A166="","","PENDIENTE")</f>
        <v/>
      </c>
      <c r="J166" s="7" t="n"/>
      <c r="K166" s="7">
        <f>IF(A166="","",A166&amp;"|"&amp;TEXT(F166,"yyyymmdd")&amp;"|"&amp;TEXT(G166,"yyyymmdd"))</f>
        <v/>
      </c>
    </row>
    <row r="167">
      <c r="A167" s="7" t="n"/>
      <c r="B167" s="7">
        <f>IF(A167="","",IFERROR(VLOOKUP(A167,Empleados!A:B,2,FALSE),""))</f>
        <v/>
      </c>
      <c r="C167" s="7">
        <f>IF(A167="","",IFERROR(VLOOKUP(A167,Empleados!A:J,9,FALSE),""))</f>
        <v/>
      </c>
      <c r="D167" s="7">
        <f>IF(A167="","",IFERROR(VLOOKUP(A167,Empleados!A:I,8,FALSE),""))</f>
        <v/>
      </c>
      <c r="E167" s="7" t="n"/>
      <c r="F167" s="8" t="n"/>
      <c r="G167" s="8" t="n"/>
      <c r="H167" s="9">
        <f>IF(OR(F167="",G167=""),"",G167-F167+1)</f>
        <v/>
      </c>
      <c r="I167" s="7">
        <f>IF(A167="","","PENDIENTE")</f>
        <v/>
      </c>
      <c r="J167" s="7" t="n"/>
      <c r="K167" s="7">
        <f>IF(A167="","",A167&amp;"|"&amp;TEXT(F167,"yyyymmdd")&amp;"|"&amp;TEXT(G167,"yyyymmdd"))</f>
        <v/>
      </c>
    </row>
    <row r="168">
      <c r="A168" s="7" t="n"/>
      <c r="B168" s="7">
        <f>IF(A168="","",IFERROR(VLOOKUP(A168,Empleados!A:B,2,FALSE),""))</f>
        <v/>
      </c>
      <c r="C168" s="7">
        <f>IF(A168="","",IFERROR(VLOOKUP(A168,Empleados!A:J,9,FALSE),""))</f>
        <v/>
      </c>
      <c r="D168" s="7">
        <f>IF(A168="","",IFERROR(VLOOKUP(A168,Empleados!A:I,8,FALSE),""))</f>
        <v/>
      </c>
      <c r="E168" s="7" t="n"/>
      <c r="F168" s="8" t="n"/>
      <c r="G168" s="8" t="n"/>
      <c r="H168" s="9">
        <f>IF(OR(F168="",G168=""),"",G168-F168+1)</f>
        <v/>
      </c>
      <c r="I168" s="7">
        <f>IF(A168="","","PENDIENTE")</f>
        <v/>
      </c>
      <c r="J168" s="7" t="n"/>
      <c r="K168" s="7">
        <f>IF(A168="","",A168&amp;"|"&amp;TEXT(F168,"yyyymmdd")&amp;"|"&amp;TEXT(G168,"yyyymmdd"))</f>
        <v/>
      </c>
    </row>
    <row r="169">
      <c r="A169" s="7" t="n"/>
      <c r="B169" s="7">
        <f>IF(A169="","",IFERROR(VLOOKUP(A169,Empleados!A:B,2,FALSE),""))</f>
        <v/>
      </c>
      <c r="C169" s="7">
        <f>IF(A169="","",IFERROR(VLOOKUP(A169,Empleados!A:J,9,FALSE),""))</f>
        <v/>
      </c>
      <c r="D169" s="7">
        <f>IF(A169="","",IFERROR(VLOOKUP(A169,Empleados!A:I,8,FALSE),""))</f>
        <v/>
      </c>
      <c r="E169" s="7" t="n"/>
      <c r="F169" s="8" t="n"/>
      <c r="G169" s="8" t="n"/>
      <c r="H169" s="9">
        <f>IF(OR(F169="",G169=""),"",G169-F169+1)</f>
        <v/>
      </c>
      <c r="I169" s="7">
        <f>IF(A169="","","PENDIENTE")</f>
        <v/>
      </c>
      <c r="J169" s="7" t="n"/>
      <c r="K169" s="7">
        <f>IF(A169="","",A169&amp;"|"&amp;TEXT(F169,"yyyymmdd")&amp;"|"&amp;TEXT(G169,"yyyymmdd"))</f>
        <v/>
      </c>
    </row>
    <row r="170">
      <c r="A170" s="7" t="n"/>
      <c r="B170" s="7">
        <f>IF(A170="","",IFERROR(VLOOKUP(A170,Empleados!A:B,2,FALSE),""))</f>
        <v/>
      </c>
      <c r="C170" s="7">
        <f>IF(A170="","",IFERROR(VLOOKUP(A170,Empleados!A:J,9,FALSE),""))</f>
        <v/>
      </c>
      <c r="D170" s="7">
        <f>IF(A170="","",IFERROR(VLOOKUP(A170,Empleados!A:I,8,FALSE),""))</f>
        <v/>
      </c>
      <c r="E170" s="7" t="n"/>
      <c r="F170" s="8" t="n"/>
      <c r="G170" s="8" t="n"/>
      <c r="H170" s="9">
        <f>IF(OR(F170="",G170=""),"",G170-F170+1)</f>
        <v/>
      </c>
      <c r="I170" s="7">
        <f>IF(A170="","","PENDIENTE")</f>
        <v/>
      </c>
      <c r="J170" s="7" t="n"/>
      <c r="K170" s="7">
        <f>IF(A170="","",A170&amp;"|"&amp;TEXT(F170,"yyyymmdd")&amp;"|"&amp;TEXT(G170,"yyyymmdd"))</f>
        <v/>
      </c>
    </row>
    <row r="171">
      <c r="A171" s="7" t="n"/>
      <c r="B171" s="7">
        <f>IF(A171="","",IFERROR(VLOOKUP(A171,Empleados!A:B,2,FALSE),""))</f>
        <v/>
      </c>
      <c r="C171" s="7">
        <f>IF(A171="","",IFERROR(VLOOKUP(A171,Empleados!A:J,9,FALSE),""))</f>
        <v/>
      </c>
      <c r="D171" s="7">
        <f>IF(A171="","",IFERROR(VLOOKUP(A171,Empleados!A:I,8,FALSE),""))</f>
        <v/>
      </c>
      <c r="E171" s="7" t="n"/>
      <c r="F171" s="8" t="n"/>
      <c r="G171" s="8" t="n"/>
      <c r="H171" s="9">
        <f>IF(OR(F171="",G171=""),"",G171-F171+1)</f>
        <v/>
      </c>
      <c r="I171" s="7">
        <f>IF(A171="","","PENDIENTE")</f>
        <v/>
      </c>
      <c r="J171" s="7" t="n"/>
      <c r="K171" s="7">
        <f>IF(A171="","",A171&amp;"|"&amp;TEXT(F171,"yyyymmdd")&amp;"|"&amp;TEXT(G171,"yyyymmdd"))</f>
        <v/>
      </c>
    </row>
    <row r="172">
      <c r="A172" s="7" t="n"/>
      <c r="B172" s="7">
        <f>IF(A172="","",IFERROR(VLOOKUP(A172,Empleados!A:B,2,FALSE),""))</f>
        <v/>
      </c>
      <c r="C172" s="7">
        <f>IF(A172="","",IFERROR(VLOOKUP(A172,Empleados!A:J,9,FALSE),""))</f>
        <v/>
      </c>
      <c r="D172" s="7">
        <f>IF(A172="","",IFERROR(VLOOKUP(A172,Empleados!A:I,8,FALSE),""))</f>
        <v/>
      </c>
      <c r="E172" s="7" t="n"/>
      <c r="F172" s="8" t="n"/>
      <c r="G172" s="8" t="n"/>
      <c r="H172" s="9">
        <f>IF(OR(F172="",G172=""),"",G172-F172+1)</f>
        <v/>
      </c>
      <c r="I172" s="7">
        <f>IF(A172="","","PENDIENTE")</f>
        <v/>
      </c>
      <c r="J172" s="7" t="n"/>
      <c r="K172" s="7">
        <f>IF(A172="","",A172&amp;"|"&amp;TEXT(F172,"yyyymmdd")&amp;"|"&amp;TEXT(G172,"yyyymmdd"))</f>
        <v/>
      </c>
    </row>
    <row r="173">
      <c r="A173" s="7" t="n"/>
      <c r="B173" s="7">
        <f>IF(A173="","",IFERROR(VLOOKUP(A173,Empleados!A:B,2,FALSE),""))</f>
        <v/>
      </c>
      <c r="C173" s="7">
        <f>IF(A173="","",IFERROR(VLOOKUP(A173,Empleados!A:J,9,FALSE),""))</f>
        <v/>
      </c>
      <c r="D173" s="7">
        <f>IF(A173="","",IFERROR(VLOOKUP(A173,Empleados!A:I,8,FALSE),""))</f>
        <v/>
      </c>
      <c r="E173" s="7" t="n"/>
      <c r="F173" s="8" t="n"/>
      <c r="G173" s="8" t="n"/>
      <c r="H173" s="9">
        <f>IF(OR(F173="",G173=""),"",G173-F173+1)</f>
        <v/>
      </c>
      <c r="I173" s="7">
        <f>IF(A173="","","PENDIENTE")</f>
        <v/>
      </c>
      <c r="J173" s="7" t="n"/>
      <c r="K173" s="7">
        <f>IF(A173="","",A173&amp;"|"&amp;TEXT(F173,"yyyymmdd")&amp;"|"&amp;TEXT(G173,"yyyymmdd"))</f>
        <v/>
      </c>
    </row>
    <row r="174">
      <c r="A174" s="7" t="n"/>
      <c r="B174" s="7">
        <f>IF(A174="","",IFERROR(VLOOKUP(A174,Empleados!A:B,2,FALSE),""))</f>
        <v/>
      </c>
      <c r="C174" s="7">
        <f>IF(A174="","",IFERROR(VLOOKUP(A174,Empleados!A:J,9,FALSE),""))</f>
        <v/>
      </c>
      <c r="D174" s="7">
        <f>IF(A174="","",IFERROR(VLOOKUP(A174,Empleados!A:I,8,FALSE),""))</f>
        <v/>
      </c>
      <c r="E174" s="7" t="n"/>
      <c r="F174" s="8" t="n"/>
      <c r="G174" s="8" t="n"/>
      <c r="H174" s="9">
        <f>IF(OR(F174="",G174=""),"",G174-F174+1)</f>
        <v/>
      </c>
      <c r="I174" s="7">
        <f>IF(A174="","","PENDIENTE")</f>
        <v/>
      </c>
      <c r="J174" s="7" t="n"/>
      <c r="K174" s="7">
        <f>IF(A174="","",A174&amp;"|"&amp;TEXT(F174,"yyyymmdd")&amp;"|"&amp;TEXT(G174,"yyyymmdd"))</f>
        <v/>
      </c>
    </row>
    <row r="175">
      <c r="A175" s="7" t="n"/>
      <c r="B175" s="7">
        <f>IF(A175="","",IFERROR(VLOOKUP(A175,Empleados!A:B,2,FALSE),""))</f>
        <v/>
      </c>
      <c r="C175" s="7">
        <f>IF(A175="","",IFERROR(VLOOKUP(A175,Empleados!A:J,9,FALSE),""))</f>
        <v/>
      </c>
      <c r="D175" s="7">
        <f>IF(A175="","",IFERROR(VLOOKUP(A175,Empleados!A:I,8,FALSE),""))</f>
        <v/>
      </c>
      <c r="E175" s="7" t="n"/>
      <c r="F175" s="8" t="n"/>
      <c r="G175" s="8" t="n"/>
      <c r="H175" s="9">
        <f>IF(OR(F175="",G175=""),"",G175-F175+1)</f>
        <v/>
      </c>
      <c r="I175" s="7">
        <f>IF(A175="","","PENDIENTE")</f>
        <v/>
      </c>
      <c r="J175" s="7" t="n"/>
      <c r="K175" s="7">
        <f>IF(A175="","",A175&amp;"|"&amp;TEXT(F175,"yyyymmdd")&amp;"|"&amp;TEXT(G175,"yyyymmdd"))</f>
        <v/>
      </c>
    </row>
    <row r="176">
      <c r="A176" s="7" t="n"/>
      <c r="B176" s="7">
        <f>IF(A176="","",IFERROR(VLOOKUP(A176,Empleados!A:B,2,FALSE),""))</f>
        <v/>
      </c>
      <c r="C176" s="7">
        <f>IF(A176="","",IFERROR(VLOOKUP(A176,Empleados!A:J,9,FALSE),""))</f>
        <v/>
      </c>
      <c r="D176" s="7">
        <f>IF(A176="","",IFERROR(VLOOKUP(A176,Empleados!A:I,8,FALSE),""))</f>
        <v/>
      </c>
      <c r="E176" s="7" t="n"/>
      <c r="F176" s="8" t="n"/>
      <c r="G176" s="8" t="n"/>
      <c r="H176" s="9">
        <f>IF(OR(F176="",G176=""),"",G176-F176+1)</f>
        <v/>
      </c>
      <c r="I176" s="7">
        <f>IF(A176="","","PENDIENTE")</f>
        <v/>
      </c>
      <c r="J176" s="7" t="n"/>
      <c r="K176" s="7">
        <f>IF(A176="","",A176&amp;"|"&amp;TEXT(F176,"yyyymmdd")&amp;"|"&amp;TEXT(G176,"yyyymmdd"))</f>
        <v/>
      </c>
    </row>
    <row r="177">
      <c r="A177" s="7" t="n"/>
      <c r="B177" s="7">
        <f>IF(A177="","",IFERROR(VLOOKUP(A177,Empleados!A:B,2,FALSE),""))</f>
        <v/>
      </c>
      <c r="C177" s="7">
        <f>IF(A177="","",IFERROR(VLOOKUP(A177,Empleados!A:J,9,FALSE),""))</f>
        <v/>
      </c>
      <c r="D177" s="7">
        <f>IF(A177="","",IFERROR(VLOOKUP(A177,Empleados!A:I,8,FALSE),""))</f>
        <v/>
      </c>
      <c r="E177" s="7" t="n"/>
      <c r="F177" s="8" t="n"/>
      <c r="G177" s="8" t="n"/>
      <c r="H177" s="9">
        <f>IF(OR(F177="",G177=""),"",G177-F177+1)</f>
        <v/>
      </c>
      <c r="I177" s="7">
        <f>IF(A177="","","PENDIENTE")</f>
        <v/>
      </c>
      <c r="J177" s="7" t="n"/>
      <c r="K177" s="7">
        <f>IF(A177="","",A177&amp;"|"&amp;TEXT(F177,"yyyymmdd")&amp;"|"&amp;TEXT(G177,"yyyymmdd"))</f>
        <v/>
      </c>
    </row>
    <row r="178">
      <c r="A178" s="7" t="n"/>
      <c r="B178" s="7">
        <f>IF(A178="","",IFERROR(VLOOKUP(A178,Empleados!A:B,2,FALSE),""))</f>
        <v/>
      </c>
      <c r="C178" s="7">
        <f>IF(A178="","",IFERROR(VLOOKUP(A178,Empleados!A:J,9,FALSE),""))</f>
        <v/>
      </c>
      <c r="D178" s="7">
        <f>IF(A178="","",IFERROR(VLOOKUP(A178,Empleados!A:I,8,FALSE),""))</f>
        <v/>
      </c>
      <c r="E178" s="7" t="n"/>
      <c r="F178" s="8" t="n"/>
      <c r="G178" s="8" t="n"/>
      <c r="H178" s="9">
        <f>IF(OR(F178="",G178=""),"",G178-F178+1)</f>
        <v/>
      </c>
      <c r="I178" s="7">
        <f>IF(A178="","","PENDIENTE")</f>
        <v/>
      </c>
      <c r="J178" s="7" t="n"/>
      <c r="K178" s="7">
        <f>IF(A178="","",A178&amp;"|"&amp;TEXT(F178,"yyyymmdd")&amp;"|"&amp;TEXT(G178,"yyyymmdd"))</f>
        <v/>
      </c>
    </row>
    <row r="179">
      <c r="A179" s="7" t="n"/>
      <c r="B179" s="7">
        <f>IF(A179="","",IFERROR(VLOOKUP(A179,Empleados!A:B,2,FALSE),""))</f>
        <v/>
      </c>
      <c r="C179" s="7">
        <f>IF(A179="","",IFERROR(VLOOKUP(A179,Empleados!A:J,9,FALSE),""))</f>
        <v/>
      </c>
      <c r="D179" s="7">
        <f>IF(A179="","",IFERROR(VLOOKUP(A179,Empleados!A:I,8,FALSE),""))</f>
        <v/>
      </c>
      <c r="E179" s="7" t="n"/>
      <c r="F179" s="8" t="n"/>
      <c r="G179" s="8" t="n"/>
      <c r="H179" s="9">
        <f>IF(OR(F179="",G179=""),"",G179-F179+1)</f>
        <v/>
      </c>
      <c r="I179" s="7">
        <f>IF(A179="","","PENDIENTE")</f>
        <v/>
      </c>
      <c r="J179" s="7" t="n"/>
      <c r="K179" s="7">
        <f>IF(A179="","",A179&amp;"|"&amp;TEXT(F179,"yyyymmdd")&amp;"|"&amp;TEXT(G179,"yyyymmdd"))</f>
        <v/>
      </c>
    </row>
    <row r="180">
      <c r="A180" s="7" t="n"/>
      <c r="B180" s="7">
        <f>IF(A180="","",IFERROR(VLOOKUP(A180,Empleados!A:B,2,FALSE),""))</f>
        <v/>
      </c>
      <c r="C180" s="7">
        <f>IF(A180="","",IFERROR(VLOOKUP(A180,Empleados!A:J,9,FALSE),""))</f>
        <v/>
      </c>
      <c r="D180" s="7">
        <f>IF(A180="","",IFERROR(VLOOKUP(A180,Empleados!A:I,8,FALSE),""))</f>
        <v/>
      </c>
      <c r="E180" s="7" t="n"/>
      <c r="F180" s="8" t="n"/>
      <c r="G180" s="8" t="n"/>
      <c r="H180" s="9">
        <f>IF(OR(F180="",G180=""),"",G180-F180+1)</f>
        <v/>
      </c>
      <c r="I180" s="7">
        <f>IF(A180="","","PENDIENTE")</f>
        <v/>
      </c>
      <c r="J180" s="7" t="n"/>
      <c r="K180" s="7">
        <f>IF(A180="","",A180&amp;"|"&amp;TEXT(F180,"yyyymmdd")&amp;"|"&amp;TEXT(G180,"yyyymmdd"))</f>
        <v/>
      </c>
    </row>
    <row r="181">
      <c r="A181" s="7" t="n"/>
      <c r="B181" s="7">
        <f>IF(A181="","",IFERROR(VLOOKUP(A181,Empleados!A:B,2,FALSE),""))</f>
        <v/>
      </c>
      <c r="C181" s="7">
        <f>IF(A181="","",IFERROR(VLOOKUP(A181,Empleados!A:J,9,FALSE),""))</f>
        <v/>
      </c>
      <c r="D181" s="7">
        <f>IF(A181="","",IFERROR(VLOOKUP(A181,Empleados!A:I,8,FALSE),""))</f>
        <v/>
      </c>
      <c r="E181" s="7" t="n"/>
      <c r="F181" s="8" t="n"/>
      <c r="G181" s="8" t="n"/>
      <c r="H181" s="9">
        <f>IF(OR(F181="",G181=""),"",G181-F181+1)</f>
        <v/>
      </c>
      <c r="I181" s="7">
        <f>IF(A181="","","PENDIENTE")</f>
        <v/>
      </c>
      <c r="J181" s="7" t="n"/>
      <c r="K181" s="7">
        <f>IF(A181="","",A181&amp;"|"&amp;TEXT(F181,"yyyymmdd")&amp;"|"&amp;TEXT(G181,"yyyymmdd"))</f>
        <v/>
      </c>
    </row>
    <row r="182">
      <c r="A182" s="7" t="n"/>
      <c r="B182" s="7">
        <f>IF(A182="","",IFERROR(VLOOKUP(A182,Empleados!A:B,2,FALSE),""))</f>
        <v/>
      </c>
      <c r="C182" s="7">
        <f>IF(A182="","",IFERROR(VLOOKUP(A182,Empleados!A:J,9,FALSE),""))</f>
        <v/>
      </c>
      <c r="D182" s="7">
        <f>IF(A182="","",IFERROR(VLOOKUP(A182,Empleados!A:I,8,FALSE),""))</f>
        <v/>
      </c>
      <c r="E182" s="7" t="n"/>
      <c r="F182" s="8" t="n"/>
      <c r="G182" s="8" t="n"/>
      <c r="H182" s="9">
        <f>IF(OR(F182="",G182=""),"",G182-F182+1)</f>
        <v/>
      </c>
      <c r="I182" s="7">
        <f>IF(A182="","","PENDIENTE")</f>
        <v/>
      </c>
      <c r="J182" s="7" t="n"/>
      <c r="K182" s="7">
        <f>IF(A182="","",A182&amp;"|"&amp;TEXT(F182,"yyyymmdd")&amp;"|"&amp;TEXT(G182,"yyyymmdd"))</f>
        <v/>
      </c>
    </row>
    <row r="183">
      <c r="A183" s="7" t="n"/>
      <c r="B183" s="7">
        <f>IF(A183="","",IFERROR(VLOOKUP(A183,Empleados!A:B,2,FALSE),""))</f>
        <v/>
      </c>
      <c r="C183" s="7">
        <f>IF(A183="","",IFERROR(VLOOKUP(A183,Empleados!A:J,9,FALSE),""))</f>
        <v/>
      </c>
      <c r="D183" s="7">
        <f>IF(A183="","",IFERROR(VLOOKUP(A183,Empleados!A:I,8,FALSE),""))</f>
        <v/>
      </c>
      <c r="E183" s="7" t="n"/>
      <c r="F183" s="8" t="n"/>
      <c r="G183" s="8" t="n"/>
      <c r="H183" s="9">
        <f>IF(OR(F183="",G183=""),"",G183-F183+1)</f>
        <v/>
      </c>
      <c r="I183" s="7">
        <f>IF(A183="","","PENDIENTE")</f>
        <v/>
      </c>
      <c r="J183" s="7" t="n"/>
      <c r="K183" s="7">
        <f>IF(A183="","",A183&amp;"|"&amp;TEXT(F183,"yyyymmdd")&amp;"|"&amp;TEXT(G183,"yyyymmdd"))</f>
        <v/>
      </c>
    </row>
    <row r="184">
      <c r="A184" s="7" t="n"/>
      <c r="B184" s="7">
        <f>IF(A184="","",IFERROR(VLOOKUP(A184,Empleados!A:B,2,FALSE),""))</f>
        <v/>
      </c>
      <c r="C184" s="7">
        <f>IF(A184="","",IFERROR(VLOOKUP(A184,Empleados!A:J,9,FALSE),""))</f>
        <v/>
      </c>
      <c r="D184" s="7">
        <f>IF(A184="","",IFERROR(VLOOKUP(A184,Empleados!A:I,8,FALSE),""))</f>
        <v/>
      </c>
      <c r="E184" s="7" t="n"/>
      <c r="F184" s="8" t="n"/>
      <c r="G184" s="8" t="n"/>
      <c r="H184" s="9">
        <f>IF(OR(F184="",G184=""),"",G184-F184+1)</f>
        <v/>
      </c>
      <c r="I184" s="7">
        <f>IF(A184="","","PENDIENTE")</f>
        <v/>
      </c>
      <c r="J184" s="7" t="n"/>
      <c r="K184" s="7">
        <f>IF(A184="","",A184&amp;"|"&amp;TEXT(F184,"yyyymmdd")&amp;"|"&amp;TEXT(G184,"yyyymmdd"))</f>
        <v/>
      </c>
    </row>
    <row r="185">
      <c r="A185" s="7" t="n"/>
      <c r="B185" s="7">
        <f>IF(A185="","",IFERROR(VLOOKUP(A185,Empleados!A:B,2,FALSE),""))</f>
        <v/>
      </c>
      <c r="C185" s="7">
        <f>IF(A185="","",IFERROR(VLOOKUP(A185,Empleados!A:J,9,FALSE),""))</f>
        <v/>
      </c>
      <c r="D185" s="7">
        <f>IF(A185="","",IFERROR(VLOOKUP(A185,Empleados!A:I,8,FALSE),""))</f>
        <v/>
      </c>
      <c r="E185" s="7" t="n"/>
      <c r="F185" s="8" t="n"/>
      <c r="G185" s="8" t="n"/>
      <c r="H185" s="9">
        <f>IF(OR(F185="",G185=""),"",G185-F185+1)</f>
        <v/>
      </c>
      <c r="I185" s="7">
        <f>IF(A185="","","PENDIENTE")</f>
        <v/>
      </c>
      <c r="J185" s="7" t="n"/>
      <c r="K185" s="7">
        <f>IF(A185="","",A185&amp;"|"&amp;TEXT(F185,"yyyymmdd")&amp;"|"&amp;TEXT(G185,"yyyymmdd"))</f>
        <v/>
      </c>
    </row>
    <row r="186">
      <c r="A186" s="7" t="n"/>
      <c r="B186" s="7">
        <f>IF(A186="","",IFERROR(VLOOKUP(A186,Empleados!A:B,2,FALSE),""))</f>
        <v/>
      </c>
      <c r="C186" s="7">
        <f>IF(A186="","",IFERROR(VLOOKUP(A186,Empleados!A:J,9,FALSE),""))</f>
        <v/>
      </c>
      <c r="D186" s="7">
        <f>IF(A186="","",IFERROR(VLOOKUP(A186,Empleados!A:I,8,FALSE),""))</f>
        <v/>
      </c>
      <c r="E186" s="7" t="n"/>
      <c r="F186" s="8" t="n"/>
      <c r="G186" s="8" t="n"/>
      <c r="H186" s="9">
        <f>IF(OR(F186="",G186=""),"",G186-F186+1)</f>
        <v/>
      </c>
      <c r="I186" s="7">
        <f>IF(A186="","","PENDIENTE")</f>
        <v/>
      </c>
      <c r="J186" s="7" t="n"/>
      <c r="K186" s="7">
        <f>IF(A186="","",A186&amp;"|"&amp;TEXT(F186,"yyyymmdd")&amp;"|"&amp;TEXT(G186,"yyyymmdd"))</f>
        <v/>
      </c>
    </row>
    <row r="187">
      <c r="A187" s="7" t="n"/>
      <c r="B187" s="7">
        <f>IF(A187="","",IFERROR(VLOOKUP(A187,Empleados!A:B,2,FALSE),""))</f>
        <v/>
      </c>
      <c r="C187" s="7">
        <f>IF(A187="","",IFERROR(VLOOKUP(A187,Empleados!A:J,9,FALSE),""))</f>
        <v/>
      </c>
      <c r="D187" s="7">
        <f>IF(A187="","",IFERROR(VLOOKUP(A187,Empleados!A:I,8,FALSE),""))</f>
        <v/>
      </c>
      <c r="E187" s="7" t="n"/>
      <c r="F187" s="8" t="n"/>
      <c r="G187" s="8" t="n"/>
      <c r="H187" s="9">
        <f>IF(OR(F187="",G187=""),"",G187-F187+1)</f>
        <v/>
      </c>
      <c r="I187" s="7">
        <f>IF(A187="","","PENDIENTE")</f>
        <v/>
      </c>
      <c r="J187" s="7" t="n"/>
      <c r="K187" s="7">
        <f>IF(A187="","",A187&amp;"|"&amp;TEXT(F187,"yyyymmdd")&amp;"|"&amp;TEXT(G187,"yyyymmdd"))</f>
        <v/>
      </c>
    </row>
    <row r="188">
      <c r="A188" s="7" t="n"/>
      <c r="B188" s="7">
        <f>IF(A188="","",IFERROR(VLOOKUP(A188,Empleados!A:B,2,FALSE),""))</f>
        <v/>
      </c>
      <c r="C188" s="7">
        <f>IF(A188="","",IFERROR(VLOOKUP(A188,Empleados!A:J,9,FALSE),""))</f>
        <v/>
      </c>
      <c r="D188" s="7">
        <f>IF(A188="","",IFERROR(VLOOKUP(A188,Empleados!A:I,8,FALSE),""))</f>
        <v/>
      </c>
      <c r="E188" s="7" t="n"/>
      <c r="F188" s="8" t="n"/>
      <c r="G188" s="8" t="n"/>
      <c r="H188" s="9">
        <f>IF(OR(F188="",G188=""),"",G188-F188+1)</f>
        <v/>
      </c>
      <c r="I188" s="7">
        <f>IF(A188="","","PENDIENTE")</f>
        <v/>
      </c>
      <c r="J188" s="7" t="n"/>
      <c r="K188" s="7">
        <f>IF(A188="","",A188&amp;"|"&amp;TEXT(F188,"yyyymmdd")&amp;"|"&amp;TEXT(G188,"yyyymmdd"))</f>
        <v/>
      </c>
    </row>
    <row r="189">
      <c r="A189" s="7" t="n"/>
      <c r="B189" s="7">
        <f>IF(A189="","",IFERROR(VLOOKUP(A189,Empleados!A:B,2,FALSE),""))</f>
        <v/>
      </c>
      <c r="C189" s="7">
        <f>IF(A189="","",IFERROR(VLOOKUP(A189,Empleados!A:J,9,FALSE),""))</f>
        <v/>
      </c>
      <c r="D189" s="7">
        <f>IF(A189="","",IFERROR(VLOOKUP(A189,Empleados!A:I,8,FALSE),""))</f>
        <v/>
      </c>
      <c r="E189" s="7" t="n"/>
      <c r="F189" s="8" t="n"/>
      <c r="G189" s="8" t="n"/>
      <c r="H189" s="9">
        <f>IF(OR(F189="",G189=""),"",G189-F189+1)</f>
        <v/>
      </c>
      <c r="I189" s="7">
        <f>IF(A189="","","PENDIENTE")</f>
        <v/>
      </c>
      <c r="J189" s="7" t="n"/>
      <c r="K189" s="7">
        <f>IF(A189="","",A189&amp;"|"&amp;TEXT(F189,"yyyymmdd")&amp;"|"&amp;TEXT(G189,"yyyymmdd"))</f>
        <v/>
      </c>
    </row>
    <row r="190">
      <c r="A190" s="7" t="n"/>
      <c r="B190" s="7">
        <f>IF(A190="","",IFERROR(VLOOKUP(A190,Empleados!A:B,2,FALSE),""))</f>
        <v/>
      </c>
      <c r="C190" s="7">
        <f>IF(A190="","",IFERROR(VLOOKUP(A190,Empleados!A:J,9,FALSE),""))</f>
        <v/>
      </c>
      <c r="D190" s="7">
        <f>IF(A190="","",IFERROR(VLOOKUP(A190,Empleados!A:I,8,FALSE),""))</f>
        <v/>
      </c>
      <c r="E190" s="7" t="n"/>
      <c r="F190" s="8" t="n"/>
      <c r="G190" s="8" t="n"/>
      <c r="H190" s="9">
        <f>IF(OR(F190="",G190=""),"",G190-F190+1)</f>
        <v/>
      </c>
      <c r="I190" s="7">
        <f>IF(A190="","","PENDIENTE")</f>
        <v/>
      </c>
      <c r="J190" s="7" t="n"/>
      <c r="K190" s="7">
        <f>IF(A190="","",A190&amp;"|"&amp;TEXT(F190,"yyyymmdd")&amp;"|"&amp;TEXT(G190,"yyyymmdd"))</f>
        <v/>
      </c>
    </row>
    <row r="191">
      <c r="A191" s="7" t="n"/>
      <c r="B191" s="7">
        <f>IF(A191="","",IFERROR(VLOOKUP(A191,Empleados!A:B,2,FALSE),""))</f>
        <v/>
      </c>
      <c r="C191" s="7">
        <f>IF(A191="","",IFERROR(VLOOKUP(A191,Empleados!A:J,9,FALSE),""))</f>
        <v/>
      </c>
      <c r="D191" s="7">
        <f>IF(A191="","",IFERROR(VLOOKUP(A191,Empleados!A:I,8,FALSE),""))</f>
        <v/>
      </c>
      <c r="E191" s="7" t="n"/>
      <c r="F191" s="8" t="n"/>
      <c r="G191" s="8" t="n"/>
      <c r="H191" s="9">
        <f>IF(OR(F191="",G191=""),"",G191-F191+1)</f>
        <v/>
      </c>
      <c r="I191" s="7">
        <f>IF(A191="","","PENDIENTE")</f>
        <v/>
      </c>
      <c r="J191" s="7" t="n"/>
      <c r="K191" s="7">
        <f>IF(A191="","",A191&amp;"|"&amp;TEXT(F191,"yyyymmdd")&amp;"|"&amp;TEXT(G191,"yyyymmdd"))</f>
        <v/>
      </c>
    </row>
    <row r="192">
      <c r="A192" s="7" t="n"/>
      <c r="B192" s="7">
        <f>IF(A192="","",IFERROR(VLOOKUP(A192,Empleados!A:B,2,FALSE),""))</f>
        <v/>
      </c>
      <c r="C192" s="7">
        <f>IF(A192="","",IFERROR(VLOOKUP(A192,Empleados!A:J,9,FALSE),""))</f>
        <v/>
      </c>
      <c r="D192" s="7">
        <f>IF(A192="","",IFERROR(VLOOKUP(A192,Empleados!A:I,8,FALSE),""))</f>
        <v/>
      </c>
      <c r="E192" s="7" t="n"/>
      <c r="F192" s="8" t="n"/>
      <c r="G192" s="8" t="n"/>
      <c r="H192" s="9">
        <f>IF(OR(F192="",G192=""),"",G192-F192+1)</f>
        <v/>
      </c>
      <c r="I192" s="7">
        <f>IF(A192="","","PENDIENTE")</f>
        <v/>
      </c>
      <c r="J192" s="7" t="n"/>
      <c r="K192" s="7">
        <f>IF(A192="","",A192&amp;"|"&amp;TEXT(F192,"yyyymmdd")&amp;"|"&amp;TEXT(G192,"yyyymmdd"))</f>
        <v/>
      </c>
    </row>
    <row r="193">
      <c r="A193" s="7" t="n"/>
      <c r="B193" s="7">
        <f>IF(A193="","",IFERROR(VLOOKUP(A193,Empleados!A:B,2,FALSE),""))</f>
        <v/>
      </c>
      <c r="C193" s="7">
        <f>IF(A193="","",IFERROR(VLOOKUP(A193,Empleados!A:J,9,FALSE),""))</f>
        <v/>
      </c>
      <c r="D193" s="7">
        <f>IF(A193="","",IFERROR(VLOOKUP(A193,Empleados!A:I,8,FALSE),""))</f>
        <v/>
      </c>
      <c r="E193" s="7" t="n"/>
      <c r="F193" s="8" t="n"/>
      <c r="G193" s="8" t="n"/>
      <c r="H193" s="9">
        <f>IF(OR(F193="",G193=""),"",G193-F193+1)</f>
        <v/>
      </c>
      <c r="I193" s="7">
        <f>IF(A193="","","PENDIENTE")</f>
        <v/>
      </c>
      <c r="J193" s="7" t="n"/>
      <c r="K193" s="7">
        <f>IF(A193="","",A193&amp;"|"&amp;TEXT(F193,"yyyymmdd")&amp;"|"&amp;TEXT(G193,"yyyymmdd"))</f>
        <v/>
      </c>
    </row>
    <row r="194">
      <c r="A194" s="7" t="n"/>
      <c r="B194" s="7">
        <f>IF(A194="","",IFERROR(VLOOKUP(A194,Empleados!A:B,2,FALSE),""))</f>
        <v/>
      </c>
      <c r="C194" s="7">
        <f>IF(A194="","",IFERROR(VLOOKUP(A194,Empleados!A:J,9,FALSE),""))</f>
        <v/>
      </c>
      <c r="D194" s="7">
        <f>IF(A194="","",IFERROR(VLOOKUP(A194,Empleados!A:I,8,FALSE),""))</f>
        <v/>
      </c>
      <c r="E194" s="7" t="n"/>
      <c r="F194" s="8" t="n"/>
      <c r="G194" s="8" t="n"/>
      <c r="H194" s="9">
        <f>IF(OR(F194="",G194=""),"",G194-F194+1)</f>
        <v/>
      </c>
      <c r="I194" s="7">
        <f>IF(A194="","","PENDIENTE")</f>
        <v/>
      </c>
      <c r="J194" s="7" t="n"/>
      <c r="K194" s="7">
        <f>IF(A194="","",A194&amp;"|"&amp;TEXT(F194,"yyyymmdd")&amp;"|"&amp;TEXT(G194,"yyyymmdd"))</f>
        <v/>
      </c>
    </row>
    <row r="195">
      <c r="A195" s="7" t="n"/>
      <c r="B195" s="7">
        <f>IF(A195="","",IFERROR(VLOOKUP(A195,Empleados!A:B,2,FALSE),""))</f>
        <v/>
      </c>
      <c r="C195" s="7">
        <f>IF(A195="","",IFERROR(VLOOKUP(A195,Empleados!A:J,9,FALSE),""))</f>
        <v/>
      </c>
      <c r="D195" s="7">
        <f>IF(A195="","",IFERROR(VLOOKUP(A195,Empleados!A:I,8,FALSE),""))</f>
        <v/>
      </c>
      <c r="E195" s="7" t="n"/>
      <c r="F195" s="8" t="n"/>
      <c r="G195" s="8" t="n"/>
      <c r="H195" s="9">
        <f>IF(OR(F195="",G195=""),"",G195-F195+1)</f>
        <v/>
      </c>
      <c r="I195" s="7">
        <f>IF(A195="","","PENDIENTE")</f>
        <v/>
      </c>
      <c r="J195" s="7" t="n"/>
      <c r="K195" s="7">
        <f>IF(A195="","",A195&amp;"|"&amp;TEXT(F195,"yyyymmdd")&amp;"|"&amp;TEXT(G195,"yyyymmdd"))</f>
        <v/>
      </c>
    </row>
    <row r="196">
      <c r="A196" s="7" t="n"/>
      <c r="B196" s="7">
        <f>IF(A196="","",IFERROR(VLOOKUP(A196,Empleados!A:B,2,FALSE),""))</f>
        <v/>
      </c>
      <c r="C196" s="7">
        <f>IF(A196="","",IFERROR(VLOOKUP(A196,Empleados!A:J,9,FALSE),""))</f>
        <v/>
      </c>
      <c r="D196" s="7">
        <f>IF(A196="","",IFERROR(VLOOKUP(A196,Empleados!A:I,8,FALSE),""))</f>
        <v/>
      </c>
      <c r="E196" s="7" t="n"/>
      <c r="F196" s="8" t="n"/>
      <c r="G196" s="8" t="n"/>
      <c r="H196" s="9">
        <f>IF(OR(F196="",G196=""),"",G196-F196+1)</f>
        <v/>
      </c>
      <c r="I196" s="7">
        <f>IF(A196="","","PENDIENTE")</f>
        <v/>
      </c>
      <c r="J196" s="7" t="n"/>
      <c r="K196" s="7">
        <f>IF(A196="","",A196&amp;"|"&amp;TEXT(F196,"yyyymmdd")&amp;"|"&amp;TEXT(G196,"yyyymmdd"))</f>
        <v/>
      </c>
    </row>
    <row r="197">
      <c r="A197" s="7" t="n"/>
      <c r="B197" s="7">
        <f>IF(A197="","",IFERROR(VLOOKUP(A197,Empleados!A:B,2,FALSE),""))</f>
        <v/>
      </c>
      <c r="C197" s="7">
        <f>IF(A197="","",IFERROR(VLOOKUP(A197,Empleados!A:J,9,FALSE),""))</f>
        <v/>
      </c>
      <c r="D197" s="7">
        <f>IF(A197="","",IFERROR(VLOOKUP(A197,Empleados!A:I,8,FALSE),""))</f>
        <v/>
      </c>
      <c r="E197" s="7" t="n"/>
      <c r="F197" s="8" t="n"/>
      <c r="G197" s="8" t="n"/>
      <c r="H197" s="9">
        <f>IF(OR(F197="",G197=""),"",G197-F197+1)</f>
        <v/>
      </c>
      <c r="I197" s="7">
        <f>IF(A197="","","PENDIENTE")</f>
        <v/>
      </c>
      <c r="J197" s="7" t="n"/>
      <c r="K197" s="7">
        <f>IF(A197="","",A197&amp;"|"&amp;TEXT(F197,"yyyymmdd")&amp;"|"&amp;TEXT(G197,"yyyymmdd"))</f>
        <v/>
      </c>
    </row>
  </sheetData>
  <conditionalFormatting sqref="E2:E197">
    <cfRule type="expression" priority="1" dxfId="3">
      <formula>$E2="VACACIONES"</formula>
    </cfRule>
    <cfRule type="expression" priority="2" dxfId="2">
      <formula>$E2="ENFERMEDAD"</formula>
    </cfRule>
  </conditionalFormatting>
  <conditionalFormatting sqref="I2:I197">
    <cfRule type="expression" priority="3" dxfId="1">
      <formula>$I2="PENDIENTE"</formula>
    </cfRule>
    <cfRule type="expression" priority="4" dxfId="0">
      <formula>$I2="APROBADO"</formula>
    </cfRule>
  </conditionalFormatting>
  <dataValidations count="42"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E20" sqref="E20"/>
    </sheetView>
  </sheetViews>
  <sheetFormatPr baseColWidth="10" defaultColWidth="8.85546875" defaultRowHeight="15"/>
  <cols>
    <col width="24" customWidth="1" min="1" max="1"/>
    <col width="20" customWidth="1" min="3" max="3"/>
    <col width="90" customWidth="1" min="5" max="5"/>
  </cols>
  <sheetData>
    <row r="1">
      <c r="A1" s="6" t="inlineStr">
        <is>
          <t>Tipos de ausencia</t>
        </is>
      </c>
      <c r="B1" s="6" t="n"/>
      <c r="C1" s="6" t="inlineStr">
        <is>
          <t>Estados posibles</t>
        </is>
      </c>
      <c r="E1" s="6" t="inlineStr">
        <is>
          <t>Instrucciones</t>
        </is>
      </c>
    </row>
    <row r="2">
      <c r="A2" t="inlineStr">
        <is>
          <t>DOMINGO</t>
        </is>
      </c>
      <c r="C2" t="inlineStr">
        <is>
          <t>PENDIENTE</t>
        </is>
      </c>
      <c r="E2" s="7" t="inlineStr">
        <is>
          <t>1) En la hoja Ausencias cargá solo Legajo, Tipo, Fecha desde y Fecha hasta.</t>
        </is>
      </c>
    </row>
    <row r="3">
      <c r="A3" t="inlineStr">
        <is>
          <t>AUSENCIA</t>
        </is>
      </c>
      <c r="C3" t="inlineStr">
        <is>
          <t>APROBADO</t>
        </is>
      </c>
      <c r="E3" s="7" t="inlineStr">
        <is>
          <t>2) Nombre, Grupo, Días y Horarios se completan solos desde Empleados.</t>
        </is>
      </c>
    </row>
    <row r="4">
      <c r="A4" t="inlineStr">
        <is>
          <t>VACACIONES</t>
        </is>
      </c>
      <c r="C4" t="inlineStr">
        <is>
          <t>RECHAZADO</t>
        </is>
      </c>
      <c r="E4" s="7" t="inlineStr">
        <is>
          <t>3) Usá Estado para controlar si está aprobado o pendiente.</t>
        </is>
      </c>
    </row>
    <row r="5">
      <c r="A5" t="inlineStr">
        <is>
          <t>ESTUDIAR</t>
        </is>
      </c>
      <c r="E5" s="7" t="inlineStr">
        <is>
          <t>4) No modifiques la hoja Empleados salvo que cambie un horario o ingrese/baje personal.</t>
        </is>
      </c>
    </row>
    <row r="6" ht="30" customHeight="1">
      <c r="A6" t="inlineStr">
        <is>
          <t>CAPACITACIONES</t>
        </is>
      </c>
      <c r="E6" s="7" t="inlineStr">
        <is>
          <t>5) Esta plantilla queda lista para que tu app Python cruce ausencias contra las fichadas de Hikvision.</t>
        </is>
      </c>
    </row>
    <row r="7">
      <c r="A7" t="inlineStr">
        <is>
          <t>SUSPENCION</t>
        </is>
      </c>
    </row>
    <row r="8">
      <c r="A8" t="inlineStr">
        <is>
          <t>NO TRABAJADO</t>
        </is>
      </c>
    </row>
    <row r="9">
      <c r="A9" t="inlineStr">
        <is>
          <t>LICENCIA</t>
        </is>
      </c>
    </row>
    <row r="10">
      <c r="A10" t="inlineStr">
        <is>
          <t>FERIADO</t>
        </is>
      </c>
    </row>
    <row r="11">
      <c r="A11" t="inlineStr">
        <is>
          <t>ACCIDENTE DE TRABAJO</t>
        </is>
      </c>
    </row>
    <row r="12">
      <c r="A12" t="inlineStr">
        <is>
          <t>VIAJES</t>
        </is>
      </c>
    </row>
    <row r="13">
      <c r="A13" s="12" t="inlineStr">
        <is>
          <t>PRESENTE</t>
        </is>
      </c>
    </row>
    <row r="14">
      <c r="A14" s="13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2026-05-08T10:53:34Z</dcterms:created>
  <dcterms:modified xsi:type="dcterms:W3CDTF">2026-06-26T11:32:48Z</dcterms:modified>
  <cp:lastModifiedBy>Usuario</cp:lastModifiedBy>
</cp:coreProperties>
</file>