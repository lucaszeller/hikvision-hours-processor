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8_{ECDEF3F1-995F-4B71-8C8B-C56407BE00F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B2" i="3"/>
  <c r="B3" i="3"/>
  <c r="B4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E13" i="4"/>
  <c r="E12" i="4"/>
  <c r="E11" i="4"/>
  <c r="E10" i="4"/>
  <c r="E9" i="4"/>
  <c r="E8" i="4"/>
  <c r="B8" i="4"/>
  <c r="E7" i="4"/>
  <c r="E6" i="4"/>
  <c r="E5" i="4"/>
  <c r="E4" i="4"/>
  <c r="B4" i="4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<sst xmlns="http://schemas.openxmlformats.org/spreadsheetml/2006/main" count="179" uniqueCount="97">
  <si>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</si>
  <si>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</si>
  <si>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</si>
  <si>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</si>
  <si>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</si>
  <si>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</si>
  <si>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</si>
  <si>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</si>
  <si>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</si>
  <si>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</si>
  <si>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</si>
  <si>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</si>
  <si>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</si>
  <si>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</si>
  <si>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</si>
  <si>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</si>
  <si>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</si>
  <si>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</si>
  <si>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</si>
  <si>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</si>
  <si>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</si>
  <si>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</si>
  <si>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</si>
  <si>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</si>
  <si>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</si>
  <si>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</si>
  <si>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</si>
  <si>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</si>
  <si>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</si>
  <si>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</si>
  <si>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</si>
  <si>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</si>
  <si>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</si>
  <si>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</si>
  <si>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</si>
  <si>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</si>
  <si>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</si>
  <si>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</si>
  <si>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Gallegos Lucas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</si>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</sst>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30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0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1"/>
  <sheetViews>
    <sheetView workbookViewId="0">
      <selection activeCell="C7" sqref="C7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95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115</v>
      </c>
      <c r="B25" s="2" t="s">
        <v>38</v>
      </c>
      <c r="C25" s="3">
        <v>0.33333333333333331</v>
      </c>
      <c r="D25" s="3">
        <v>0.5</v>
      </c>
      <c r="E25" s="3"/>
      <c r="F25" s="3"/>
      <c r="G25" s="2" t="s">
        <v>22</v>
      </c>
      <c r="H25" s="2" t="s">
        <v>11</v>
      </c>
      <c r="I25" s="2" t="s">
        <v>39</v>
      </c>
    </row>
    <row r="26" spans="1:9" x14ac:dyDescent="0.3">
      <c r="A26" s="5">
        <v>117</v>
      </c>
      <c r="B26" s="2" t="s">
        <v>40</v>
      </c>
      <c r="C26" s="3">
        <v>0.27083333333333331</v>
      </c>
      <c r="D26" s="3">
        <v>0.5</v>
      </c>
      <c r="E26" s="3">
        <v>0.5625</v>
      </c>
      <c r="F26" s="3">
        <v>0.75</v>
      </c>
      <c r="G26" s="2"/>
      <c r="H26" s="2" t="s">
        <v>11</v>
      </c>
      <c r="I26" s="2" t="s">
        <v>14</v>
      </c>
    </row>
    <row r="27" spans="1:9" x14ac:dyDescent="0.3">
      <c r="A27" s="5">
        <v>118</v>
      </c>
      <c r="B27" s="2" t="s">
        <v>41</v>
      </c>
      <c r="C27" s="3">
        <v>0.3125</v>
      </c>
      <c r="D27" s="3">
        <v>0.5</v>
      </c>
      <c r="E27" s="3"/>
      <c r="F27" s="3"/>
      <c r="G27" s="2" t="s">
        <v>22</v>
      </c>
      <c r="H27" s="2" t="s">
        <v>96</v>
      </c>
      <c r="I27" s="2" t="s">
        <v>12</v>
      </c>
    </row>
    <row r="28" spans="1:9" x14ac:dyDescent="0.3">
      <c r="A28" s="5">
        <v>119</v>
      </c>
      <c r="B28" s="2" t="s">
        <v>42</v>
      </c>
      <c r="C28" s="3">
        <v>0.375</v>
      </c>
      <c r="D28" s="3"/>
      <c r="E28" s="3"/>
      <c r="F28" s="3">
        <v>0.70833333333333337</v>
      </c>
      <c r="G28" s="2" t="s">
        <v>22</v>
      </c>
      <c r="H28" s="2" t="s">
        <v>11</v>
      </c>
      <c r="I28" s="2" t="s">
        <v>12</v>
      </c>
    </row>
    <row r="29" spans="1:9" x14ac:dyDescent="0.3">
      <c r="A29" s="5">
        <v>120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39</v>
      </c>
    </row>
    <row r="30" spans="1:9" x14ac:dyDescent="0.3">
      <c r="A30" s="5">
        <v>121</v>
      </c>
      <c r="B30" s="2" t="s">
        <v>44</v>
      </c>
      <c r="C30" s="3">
        <v>0.33333333333333331</v>
      </c>
      <c r="D30" s="3">
        <v>0.5</v>
      </c>
      <c r="E30" s="3">
        <v>0.58333333333333337</v>
      </c>
      <c r="F30" s="3">
        <v>0.75</v>
      </c>
      <c r="G30" s="2"/>
      <c r="H30" s="2" t="s">
        <v>11</v>
      </c>
      <c r="I30" s="2" t="s">
        <v>39</v>
      </c>
    </row>
    <row r="1048571" spans="7:7" x14ac:dyDescent="0.3">
      <c r="G1048571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45</v>
      </c>
      <c r="B1" s="6"/>
      <c r="C1" s="6" t="s">
        <v>46</v>
      </c>
      <c r="E1" s="6" t="s">
        <v>47</v>
      </c>
    </row>
    <row r="2" spans="1:5" x14ac:dyDescent="0.3">
      <c r="A2" t="s">
        <v>87</v>
      </c>
      <c r="C2" t="s">
        <v>49</v>
      </c>
      <c r="E2" s="7" t="s">
        <v>50</v>
      </c>
    </row>
    <row r="3" spans="1:5" x14ac:dyDescent="0.3">
      <c r="A3" t="s">
        <v>88</v>
      </c>
      <c r="C3" t="s">
        <v>52</v>
      </c>
      <c r="E3" s="7" t="s">
        <v>53</v>
      </c>
    </row>
    <row r="4" spans="1:5" x14ac:dyDescent="0.3">
      <c r="A4" t="s">
        <v>48</v>
      </c>
      <c r="C4" t="s">
        <v>55</v>
      </c>
      <c r="E4" s="7" t="s">
        <v>56</v>
      </c>
    </row>
    <row r="5" spans="1:5" x14ac:dyDescent="0.3">
      <c r="A5" t="s">
        <v>89</v>
      </c>
      <c r="E5" s="7" t="s">
        <v>58</v>
      </c>
    </row>
    <row r="6" spans="1:5" x14ac:dyDescent="0.3">
      <c r="A6" t="s">
        <v>90</v>
      </c>
      <c r="E6" s="7" t="s">
        <v>60</v>
      </c>
    </row>
    <row r="7" spans="1:5" x14ac:dyDescent="0.3">
      <c r="A7" t="s">
        <v>91</v>
      </c>
    </row>
    <row r="8" spans="1:5" x14ac:dyDescent="0.3">
      <c r="A8" t="s">
        <v>92</v>
      </c>
    </row>
    <row r="9" spans="1:5" x14ac:dyDescent="0.3">
      <c r="A9" t="s">
        <v>93</v>
      </c>
    </row>
    <row r="10" spans="1:5" x14ac:dyDescent="0.3">
      <c r="A10" t="s">
        <v>61</v>
      </c>
    </row>
    <row r="11" spans="1:5" x14ac:dyDescent="0.3">
      <c r="A1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tabSelected="1" workbookViewId="0">
      <selection activeCell="E10" sqref="E10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66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71</v>
      </c>
      <c r="G1" s="11" t="s">
        <v>72</v>
      </c>
      <c r="H1" s="11" t="s">
        <v>73</v>
      </c>
      <c r="I1" s="11" t="s">
        <v>74</v>
      </c>
      <c r="J1" s="11" t="s">
        <v>75</v>
      </c>
      <c r="K1" s="11" t="s">
        <v>76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48</v>
      </c>
      <c r="F2" s="9">
        <v>46140</v>
      </c>
      <c r="G2" s="9">
        <v>46140</v>
      </c>
      <c r="H2" s="10">
        <f>IF(OR(F2="",G2=""),"",G2-F2+1)</f>
        <v>1</v>
      </c>
      <c r="I2" s="7" t="s">
        <v>52</v>
      </c>
      <c r="J2" s="7"/>
      <c r="K2" s="7" t="str">
        <f t="shared" ref="K2:K32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61</v>
      </c>
      <c r="F3" s="9">
        <v>46143</v>
      </c>
      <c r="G3" s="9">
        <v>46143</v>
      </c>
      <c r="H3" s="10">
        <f t="shared" ref="H3:H65" si="1">IF(OR(F3="",G3=""),"",G3-F3+1)</f>
        <v>1</v>
      </c>
      <c r="I3" s="7" t="s">
        <v>52</v>
      </c>
      <c r="J3" s="7"/>
      <c r="K3" s="7" t="str">
        <f t="shared" si="0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94</v>
      </c>
      <c r="F4" s="9">
        <v>46146</v>
      </c>
      <c r="G4" s="9">
        <v>46173</v>
      </c>
      <c r="H4" s="10">
        <f t="shared" si="1"/>
        <v>28</v>
      </c>
      <c r="I4" s="7" t="s">
        <v>52</v>
      </c>
      <c r="J4" s="7"/>
      <c r="K4" s="7" t="str">
        <f t="shared" si="0"/>
        <v>82|20260504|20260531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94</v>
      </c>
      <c r="F5" s="9">
        <v>46146</v>
      </c>
      <c r="G5" s="9">
        <v>46173</v>
      </c>
      <c r="H5" s="10">
        <f t="shared" si="1"/>
        <v>28</v>
      </c>
      <c r="I5" s="7" t="s">
        <v>52</v>
      </c>
      <c r="J5" s="7"/>
      <c r="K5" s="7" t="str">
        <f t="shared" si="0"/>
        <v>52|20260504|20260531</v>
      </c>
    </row>
    <row r="6" spans="1:11" x14ac:dyDescent="0.3">
      <c r="A6" s="7"/>
      <c r="B6" s="7" t="str">
        <f>IF(A6="","",IFERROR(VLOOKUP(A6,Empleados!A:B,2,FALSE),""))</f>
        <v/>
      </c>
      <c r="C6" s="7" t="str">
        <f>IF(A6="","",IFERROR(VLOOKUP(A6,Empleados!A:I,9,FALSE),""))</f>
        <v/>
      </c>
      <c r="D6" s="7" t="str">
        <f>IF(A6="","",IFERROR(VLOOKUP(A6,Empleados!A:H,8,FALSE),""))</f>
        <v/>
      </c>
      <c r="E6" s="7"/>
      <c r="F6" s="9"/>
      <c r="G6" s="9"/>
      <c r="H6" s="10" t="str">
        <f t="shared" si="1"/>
        <v/>
      </c>
      <c r="I6" s="7" t="str">
        <f t="shared" ref="I6:I65" si="2">IF(A6="","","PENDIENTE")</f>
        <v/>
      </c>
      <c r="J6" s="7"/>
      <c r="K6" s="7" t="str">
        <f t="shared" si="0"/>
        <v/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si="2"/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ref="K33:K64" si="3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si="3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ref="K65:K96" si="4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ref="H66:H129" si="5">IF(OR(F66="",G66=""),"",G66-F66+1)</f>
        <v/>
      </c>
      <c r="I66" s="7" t="str">
        <f t="shared" ref="I66:I129" si="6">IF(A66="","","PENDIENTE")</f>
        <v/>
      </c>
      <c r="J66" s="7"/>
      <c r="K66" s="7" t="str">
        <f t="shared" si="4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si="5"/>
        <v/>
      </c>
      <c r="I67" s="7" t="str">
        <f t="shared" si="6"/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ref="K97:K128" si="7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si="7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ref="K129:K160" si="8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ref="H130:H193" si="9">IF(OR(F130="",G130=""),"",G130-F130+1)</f>
        <v/>
      </c>
      <c r="I130" s="7" t="str">
        <f t="shared" ref="I130:I193" si="10">IF(A130="","","PENDIENTE")</f>
        <v/>
      </c>
      <c r="J130" s="7"/>
      <c r="K130" s="7" t="str">
        <f t="shared" si="8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si="9"/>
        <v/>
      </c>
      <c r="I131" s="7" t="str">
        <f t="shared" si="10"/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ref="K161:K192" si="11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si="11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ref="K193:K200" si="12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ref="H194:H200" si="13">IF(OR(F194="",G194=""),"",G194-F194+1)</f>
        <v/>
      </c>
      <c r="I194" s="7" t="str">
        <f t="shared" ref="I194:I200" si="14">IF(A194="","","PENDIENTE")</f>
        <v/>
      </c>
      <c r="J194" s="7"/>
      <c r="K194" s="7" t="str">
        <f t="shared" si="12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si="13"/>
        <v/>
      </c>
      <c r="I195" s="7" t="str">
        <f t="shared" si="14"/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</sheetData>
  <conditionalFormatting sqref="E2:E200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0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Empleados!$A$3:$A$30</xm:f>
          </x14:formula1>
          <xm:sqref>A2:A200</xm:sqref>
        </x14:dataValidation>
        <x14:dataValidation type="list" xr:uid="{00000000-0002-0000-0200-000001000000}">
          <x14:formula1>
            <xm:f>Config!$A$2:$A$11</xm:f>
          </x14:formula1>
          <xm:sqref>E2:E200</xm:sqref>
        </x14:dataValidation>
        <x14:dataValidation type="list" xr:uid="{00000000-0002-0000-0200-000002000000}">
          <x14:formula1>
            <xm:f>Config!$C$2:$C$6</xm:f>
          </x14:formula1>
          <xm:sqref>I2:I200</xm:sqref>
        </x14:dataValidation>
        <x14:dataValidation type="list" allowBlank="1" xr:uid="{52901C7F-A1CD-44B1-99A3-8F2BF634D822}">
          <x14:formula1>
            <xm:f>Config!$A:$A</xm:f>
          </x14:formula1>
          <xm:sqref>E2:E200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E9" sqref="E9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77</v>
      </c>
      <c r="B1" s="14"/>
      <c r="C1" s="14"/>
      <c r="D1" s="14"/>
    </row>
    <row r="3" spans="1:5" x14ac:dyDescent="0.3">
      <c r="A3" s="6" t="s">
        <v>78</v>
      </c>
      <c r="B3" s="6" t="s">
        <v>79</v>
      </c>
      <c r="D3" s="6" t="s">
        <v>80</v>
      </c>
      <c r="E3" s="6" t="s">
        <v>81</v>
      </c>
    </row>
    <row r="4" spans="1:5" x14ac:dyDescent="0.3">
      <c r="A4" t="s">
        <v>82</v>
      </c>
      <c r="B4" s="8">
        <f>COUNTA(Ausencias!A2:A200)</f>
        <v>4</v>
      </c>
      <c r="D4" t="s">
        <v>48</v>
      </c>
      <c r="E4">
        <f>COUNTIF(Ausencias!E2:E200,"VACACIONES")</f>
        <v>1</v>
      </c>
    </row>
    <row r="5" spans="1:5" x14ac:dyDescent="0.3">
      <c r="A5" t="s">
        <v>83</v>
      </c>
      <c r="B5" s="8">
        <f>SUM(Ausencias!H2:H200)</f>
        <v>58</v>
      </c>
      <c r="D5" t="s">
        <v>51</v>
      </c>
      <c r="E5">
        <f>COUNTIF(Ausencias!E2:E200,"ENFERMEDAD")</f>
        <v>0</v>
      </c>
    </row>
    <row r="6" spans="1:5" x14ac:dyDescent="0.3">
      <c r="A6" t="s">
        <v>84</v>
      </c>
      <c r="B6" s="8">
        <f>COUNTIF(Ausencias!I2:I200,"PENDIENTE")</f>
        <v>0</v>
      </c>
      <c r="D6" t="s">
        <v>54</v>
      </c>
      <c r="E6">
        <f>COUNTIF(Ausencias!E2:E200,"ART")</f>
        <v>0</v>
      </c>
    </row>
    <row r="7" spans="1:5" x14ac:dyDescent="0.3">
      <c r="A7" t="s">
        <v>85</v>
      </c>
      <c r="B7" s="8">
        <f>COUNTIF(Ausencias!I2:I200,"APROBADO")</f>
        <v>4</v>
      </c>
      <c r="D7" t="s">
        <v>57</v>
      </c>
      <c r="E7">
        <f>COUNTIF(Ausencias!E2:E200,"PERMISO")</f>
        <v>0</v>
      </c>
    </row>
    <row r="8" spans="1:5" x14ac:dyDescent="0.3">
      <c r="A8" t="s">
        <v>86</v>
      </c>
      <c r="B8" s="8">
        <f>COUNTIF(Ausencias!E2:E200,"VACACIONES")</f>
        <v>1</v>
      </c>
      <c r="D8" t="s">
        <v>59</v>
      </c>
      <c r="E8">
        <f>COUNTIF(Ausencias!E2:E200,"FRANCO")</f>
        <v>0</v>
      </c>
    </row>
    <row r="9" spans="1:5" x14ac:dyDescent="0.3">
      <c r="D9" t="s">
        <v>61</v>
      </c>
      <c r="E9">
        <f>COUNTIF(Ausencias!E2:E200,"FERIADO")</f>
        <v>1</v>
      </c>
    </row>
    <row r="10" spans="1:5" x14ac:dyDescent="0.3">
      <c r="D10" t="s">
        <v>62</v>
      </c>
      <c r="E10">
        <f>COUNTIF(Ausencias!E2:E200,"HOME OFFICE")</f>
        <v>0</v>
      </c>
    </row>
    <row r="11" spans="1:5" x14ac:dyDescent="0.3">
      <c r="D11" t="s">
        <v>63</v>
      </c>
      <c r="E11">
        <f>COUNTIF(Ausencias!E2:E200,"SUSPENSION")</f>
        <v>0</v>
      </c>
    </row>
    <row r="12" spans="1:5" x14ac:dyDescent="0.3">
      <c r="D12" t="s">
        <v>64</v>
      </c>
      <c r="E12">
        <f>COUNTIF(Ausencias!E2:E200,"AUSENCIA JUSTIFICADA")</f>
        <v>0</v>
      </c>
    </row>
    <row r="13" spans="1:5" x14ac:dyDescent="0.3">
      <c r="D13" t="s">
        <v>65</v>
      </c>
      <c r="E13">
        <f>COUNTIF(Ausencias!E2:E200,"OTRO")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2026-05-15T11:27:33Z</dcterms:modified>
</cp:coreProperties>
</file>