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IDORNUEVO\Compartir\Lucas Zeller\Automatizaciones\hikvision-hours-processor\dist\"/>
    </mc:Choice>
  </mc:AlternateContent>
  <bookViews>
    <workbookView xWindow="-105" yWindow="-105" windowWidth="23250" windowHeight="12450" activeTab="1"/>
  </bookViews>
  <sheets>
    <sheet name="Empleados" sheetId="1" r:id="rId1"/>
    <sheet name="Ausencias" sheetId="2" r:id="rId2"/>
    <sheet name="Config" sheetId="3" r:id="rId3"/>
  </sheets>
  <calcPr calcId="162913"/>
</workbook>
</file>

<file path=xl/calcChain.xml><?xml version="1.0" encoding="utf-8"?>
<calcChain xmlns="http://schemas.openxmlformats.org/spreadsheetml/2006/main">
  <c r="H25" i="2" l="1"/>
  <c r="K197" i="2"/>
  <c r="I197" i="2"/>
  <c r="H197" i="2"/>
  <c r="D197" i="2"/>
  <c r="C197" i="2"/>
  <c r="B197" i="2"/>
  <c r="K196" i="2"/>
  <c r="I196" i="2"/>
  <c r="H196" i="2"/>
  <c r="D196" i="2"/>
  <c r="C196" i="2"/>
  <c r="B196" i="2"/>
  <c r="K195" i="2"/>
  <c r="I195" i="2"/>
  <c r="H195" i="2"/>
  <c r="D195" i="2"/>
  <c r="C195" i="2"/>
  <c r="B195" i="2"/>
  <c r="K194" i="2"/>
  <c r="I194" i="2"/>
  <c r="H194" i="2"/>
  <c r="D194" i="2"/>
  <c r="C194" i="2"/>
  <c r="B194" i="2"/>
  <c r="K193" i="2"/>
  <c r="I193" i="2"/>
  <c r="H193" i="2"/>
  <c r="D193" i="2"/>
  <c r="C193" i="2"/>
  <c r="B193" i="2"/>
  <c r="K192" i="2"/>
  <c r="I192" i="2"/>
  <c r="H192" i="2"/>
  <c r="D192" i="2"/>
  <c r="C192" i="2"/>
  <c r="B192" i="2"/>
  <c r="K191" i="2"/>
  <c r="I191" i="2"/>
  <c r="H191" i="2"/>
  <c r="D191" i="2"/>
  <c r="C191" i="2"/>
  <c r="B191" i="2"/>
  <c r="K190" i="2"/>
  <c r="I190" i="2"/>
  <c r="H190" i="2"/>
  <c r="D190" i="2"/>
  <c r="C190" i="2"/>
  <c r="B190" i="2"/>
  <c r="K189" i="2"/>
  <c r="I189" i="2"/>
  <c r="H189" i="2"/>
  <c r="D189" i="2"/>
  <c r="C189" i="2"/>
  <c r="B189" i="2"/>
  <c r="K188" i="2"/>
  <c r="I188" i="2"/>
  <c r="H188" i="2"/>
  <c r="D188" i="2"/>
  <c r="C188" i="2"/>
  <c r="B188" i="2"/>
  <c r="K187" i="2"/>
  <c r="I187" i="2"/>
  <c r="H187" i="2"/>
  <c r="D187" i="2"/>
  <c r="C187" i="2"/>
  <c r="B187" i="2"/>
  <c r="K186" i="2"/>
  <c r="I186" i="2"/>
  <c r="H186" i="2"/>
  <c r="D186" i="2"/>
  <c r="C186" i="2"/>
  <c r="B186" i="2"/>
  <c r="K185" i="2"/>
  <c r="I185" i="2"/>
  <c r="H185" i="2"/>
  <c r="D185" i="2"/>
  <c r="C185" i="2"/>
  <c r="B185" i="2"/>
  <c r="K184" i="2"/>
  <c r="I184" i="2"/>
  <c r="H184" i="2"/>
  <c r="D184" i="2"/>
  <c r="C184" i="2"/>
  <c r="B184" i="2"/>
  <c r="K183" i="2"/>
  <c r="I183" i="2"/>
  <c r="H183" i="2"/>
  <c r="D183" i="2"/>
  <c r="C183" i="2"/>
  <c r="B183" i="2"/>
  <c r="K182" i="2"/>
  <c r="I182" i="2"/>
  <c r="H182" i="2"/>
  <c r="D182" i="2"/>
  <c r="C182" i="2"/>
  <c r="B182" i="2"/>
  <c r="K181" i="2"/>
  <c r="I181" i="2"/>
  <c r="H181" i="2"/>
  <c r="D181" i="2"/>
  <c r="C181" i="2"/>
  <c r="B181" i="2"/>
  <c r="K180" i="2"/>
  <c r="I180" i="2"/>
  <c r="H180" i="2"/>
  <c r="D180" i="2"/>
  <c r="C180" i="2"/>
  <c r="B180" i="2"/>
  <c r="K179" i="2"/>
  <c r="I179" i="2"/>
  <c r="H179" i="2"/>
  <c r="D179" i="2"/>
  <c r="C179" i="2"/>
  <c r="B179" i="2"/>
  <c r="K178" i="2"/>
  <c r="I178" i="2"/>
  <c r="H178" i="2"/>
  <c r="D178" i="2"/>
  <c r="C178" i="2"/>
  <c r="B178" i="2"/>
  <c r="K177" i="2"/>
  <c r="I177" i="2"/>
  <c r="H177" i="2"/>
  <c r="D177" i="2"/>
  <c r="C177" i="2"/>
  <c r="B177" i="2"/>
  <c r="K176" i="2"/>
  <c r="I176" i="2"/>
  <c r="H176" i="2"/>
  <c r="D176" i="2"/>
  <c r="C176" i="2"/>
  <c r="B176" i="2"/>
  <c r="K175" i="2"/>
  <c r="I175" i="2"/>
  <c r="H175" i="2"/>
  <c r="D175" i="2"/>
  <c r="C175" i="2"/>
  <c r="B175" i="2"/>
  <c r="K174" i="2"/>
  <c r="I174" i="2"/>
  <c r="H174" i="2"/>
  <c r="D174" i="2"/>
  <c r="C174" i="2"/>
  <c r="B174" i="2"/>
  <c r="K173" i="2"/>
  <c r="I173" i="2"/>
  <c r="H173" i="2"/>
  <c r="D173" i="2"/>
  <c r="C173" i="2"/>
  <c r="B173" i="2"/>
  <c r="K172" i="2"/>
  <c r="I172" i="2"/>
  <c r="H172" i="2"/>
  <c r="D172" i="2"/>
  <c r="C172" i="2"/>
  <c r="B172" i="2"/>
  <c r="K171" i="2"/>
  <c r="I171" i="2"/>
  <c r="H171" i="2"/>
  <c r="D171" i="2"/>
  <c r="C171" i="2"/>
  <c r="B171" i="2"/>
  <c r="K170" i="2"/>
  <c r="I170" i="2"/>
  <c r="H170" i="2"/>
  <c r="D170" i="2"/>
  <c r="C170" i="2"/>
  <c r="B170" i="2"/>
  <c r="K169" i="2"/>
  <c r="I169" i="2"/>
  <c r="H169" i="2"/>
  <c r="D169" i="2"/>
  <c r="C169" i="2"/>
  <c r="B169" i="2"/>
  <c r="K168" i="2"/>
  <c r="I168" i="2"/>
  <c r="H168" i="2"/>
  <c r="D168" i="2"/>
  <c r="C168" i="2"/>
  <c r="B168" i="2"/>
  <c r="K167" i="2"/>
  <c r="I167" i="2"/>
  <c r="H167" i="2"/>
  <c r="D167" i="2"/>
  <c r="C167" i="2"/>
  <c r="B167" i="2"/>
  <c r="K166" i="2"/>
  <c r="I166" i="2"/>
  <c r="H166" i="2"/>
  <c r="D166" i="2"/>
  <c r="C166" i="2"/>
  <c r="B166" i="2"/>
  <c r="K165" i="2"/>
  <c r="I165" i="2"/>
  <c r="H165" i="2"/>
  <c r="D165" i="2"/>
  <c r="C165" i="2"/>
  <c r="B165" i="2"/>
  <c r="K164" i="2"/>
  <c r="I164" i="2"/>
  <c r="H164" i="2"/>
  <c r="D164" i="2"/>
  <c r="C164" i="2"/>
  <c r="B164" i="2"/>
  <c r="K163" i="2"/>
  <c r="I163" i="2"/>
  <c r="H163" i="2"/>
  <c r="D163" i="2"/>
  <c r="C163" i="2"/>
  <c r="B163" i="2"/>
  <c r="K162" i="2"/>
  <c r="I162" i="2"/>
  <c r="H162" i="2"/>
  <c r="D162" i="2"/>
  <c r="C162" i="2"/>
  <c r="B162" i="2"/>
  <c r="K161" i="2"/>
  <c r="I161" i="2"/>
  <c r="H161" i="2"/>
  <c r="D161" i="2"/>
  <c r="C161" i="2"/>
  <c r="B161" i="2"/>
  <c r="K160" i="2"/>
  <c r="I160" i="2"/>
  <c r="H160" i="2"/>
  <c r="D160" i="2"/>
  <c r="C160" i="2"/>
  <c r="B160" i="2"/>
  <c r="K159" i="2"/>
  <c r="I159" i="2"/>
  <c r="H159" i="2"/>
  <c r="D159" i="2"/>
  <c r="C159" i="2"/>
  <c r="B159" i="2"/>
  <c r="K158" i="2"/>
  <c r="I158" i="2"/>
  <c r="H158" i="2"/>
  <c r="D158" i="2"/>
  <c r="C158" i="2"/>
  <c r="B158" i="2"/>
  <c r="K157" i="2"/>
  <c r="I157" i="2"/>
  <c r="H157" i="2"/>
  <c r="D157" i="2"/>
  <c r="C157" i="2"/>
  <c r="B157" i="2"/>
  <c r="K156" i="2"/>
  <c r="I156" i="2"/>
  <c r="H156" i="2"/>
  <c r="D156" i="2"/>
  <c r="C156" i="2"/>
  <c r="B156" i="2"/>
  <c r="K155" i="2"/>
  <c r="I155" i="2"/>
  <c r="H155" i="2"/>
  <c r="D155" i="2"/>
  <c r="C155" i="2"/>
  <c r="B155" i="2"/>
  <c r="K154" i="2"/>
  <c r="I154" i="2"/>
  <c r="H154" i="2"/>
  <c r="D154" i="2"/>
  <c r="C154" i="2"/>
  <c r="B154" i="2"/>
  <c r="K153" i="2"/>
  <c r="I153" i="2"/>
  <c r="H153" i="2"/>
  <c r="D153" i="2"/>
  <c r="C153" i="2"/>
  <c r="B153" i="2"/>
  <c r="K152" i="2"/>
  <c r="I152" i="2"/>
  <c r="H152" i="2"/>
  <c r="D152" i="2"/>
  <c r="C152" i="2"/>
  <c r="B152" i="2"/>
  <c r="K151" i="2"/>
  <c r="I151" i="2"/>
  <c r="H151" i="2"/>
  <c r="D151" i="2"/>
  <c r="C151" i="2"/>
  <c r="B151" i="2"/>
  <c r="K150" i="2"/>
  <c r="I150" i="2"/>
  <c r="H150" i="2"/>
  <c r="D150" i="2"/>
  <c r="C150" i="2"/>
  <c r="B150" i="2"/>
  <c r="K149" i="2"/>
  <c r="I149" i="2"/>
  <c r="H149" i="2"/>
  <c r="D149" i="2"/>
  <c r="C149" i="2"/>
  <c r="B149" i="2"/>
  <c r="K148" i="2"/>
  <c r="I148" i="2"/>
  <c r="H148" i="2"/>
  <c r="D148" i="2"/>
  <c r="C148" i="2"/>
  <c r="B148" i="2"/>
  <c r="K147" i="2"/>
  <c r="I147" i="2"/>
  <c r="H147" i="2"/>
  <c r="D147" i="2"/>
  <c r="C147" i="2"/>
  <c r="B147" i="2"/>
  <c r="K146" i="2"/>
  <c r="I146" i="2"/>
  <c r="H146" i="2"/>
  <c r="D146" i="2"/>
  <c r="C146" i="2"/>
  <c r="B146" i="2"/>
  <c r="K145" i="2"/>
  <c r="I145" i="2"/>
  <c r="H145" i="2"/>
  <c r="D145" i="2"/>
  <c r="C145" i="2"/>
  <c r="B145" i="2"/>
  <c r="K144" i="2"/>
  <c r="I144" i="2"/>
  <c r="H144" i="2"/>
  <c r="D144" i="2"/>
  <c r="C144" i="2"/>
  <c r="B144" i="2"/>
  <c r="K143" i="2"/>
  <c r="I143" i="2"/>
  <c r="H143" i="2"/>
  <c r="D143" i="2"/>
  <c r="C143" i="2"/>
  <c r="B143" i="2"/>
  <c r="K142" i="2"/>
  <c r="I142" i="2"/>
  <c r="H142" i="2"/>
  <c r="D142" i="2"/>
  <c r="C142" i="2"/>
  <c r="B142" i="2"/>
  <c r="K141" i="2"/>
  <c r="I141" i="2"/>
  <c r="H141" i="2"/>
  <c r="D141" i="2"/>
  <c r="C141" i="2"/>
  <c r="B141" i="2"/>
  <c r="K140" i="2"/>
  <c r="I140" i="2"/>
  <c r="H140" i="2"/>
  <c r="D140" i="2"/>
  <c r="C140" i="2"/>
  <c r="B140" i="2"/>
  <c r="K139" i="2"/>
  <c r="I139" i="2"/>
  <c r="H139" i="2"/>
  <c r="D139" i="2"/>
  <c r="C139" i="2"/>
  <c r="B139" i="2"/>
  <c r="K138" i="2"/>
  <c r="I138" i="2"/>
  <c r="H138" i="2"/>
  <c r="D138" i="2"/>
  <c r="C138" i="2"/>
  <c r="B138" i="2"/>
  <c r="K137" i="2"/>
  <c r="I137" i="2"/>
  <c r="H137" i="2"/>
  <c r="D137" i="2"/>
  <c r="C137" i="2"/>
  <c r="B137" i="2"/>
  <c r="K136" i="2"/>
  <c r="I136" i="2"/>
  <c r="H136" i="2"/>
  <c r="D136" i="2"/>
  <c r="C136" i="2"/>
  <c r="B136" i="2"/>
  <c r="K135" i="2"/>
  <c r="I135" i="2"/>
  <c r="H135" i="2"/>
  <c r="D135" i="2"/>
  <c r="C135" i="2"/>
  <c r="B135" i="2"/>
  <c r="K134" i="2"/>
  <c r="I134" i="2"/>
  <c r="H134" i="2"/>
  <c r="D134" i="2"/>
  <c r="C134" i="2"/>
  <c r="B134" i="2"/>
  <c r="K133" i="2"/>
  <c r="I133" i="2"/>
  <c r="H133" i="2"/>
  <c r="D133" i="2"/>
  <c r="C133" i="2"/>
  <c r="B133" i="2"/>
  <c r="K132" i="2"/>
  <c r="I132" i="2"/>
  <c r="H132" i="2"/>
  <c r="D132" i="2"/>
  <c r="C132" i="2"/>
  <c r="B132" i="2"/>
  <c r="K131" i="2"/>
  <c r="I131" i="2"/>
  <c r="H131" i="2"/>
  <c r="D131" i="2"/>
  <c r="C131" i="2"/>
  <c r="B131" i="2"/>
  <c r="K130" i="2"/>
  <c r="I130" i="2"/>
  <c r="H130" i="2"/>
  <c r="D130" i="2"/>
  <c r="C130" i="2"/>
  <c r="B130" i="2"/>
  <c r="K129" i="2"/>
  <c r="I129" i="2"/>
  <c r="H129" i="2"/>
  <c r="D129" i="2"/>
  <c r="C129" i="2"/>
  <c r="B129" i="2"/>
  <c r="K128" i="2"/>
  <c r="I128" i="2"/>
  <c r="H128" i="2"/>
  <c r="D128" i="2"/>
  <c r="C128" i="2"/>
  <c r="B128" i="2"/>
  <c r="K127" i="2"/>
  <c r="I127" i="2"/>
  <c r="H127" i="2"/>
  <c r="D127" i="2"/>
  <c r="C127" i="2"/>
  <c r="B127" i="2"/>
  <c r="K126" i="2"/>
  <c r="I126" i="2"/>
  <c r="H126" i="2"/>
  <c r="D126" i="2"/>
  <c r="C126" i="2"/>
  <c r="B126" i="2"/>
  <c r="K125" i="2"/>
  <c r="I125" i="2"/>
  <c r="H125" i="2"/>
  <c r="D125" i="2"/>
  <c r="C125" i="2"/>
  <c r="B125" i="2"/>
  <c r="K124" i="2"/>
  <c r="I124" i="2"/>
  <c r="H124" i="2"/>
  <c r="D124" i="2"/>
  <c r="C124" i="2"/>
  <c r="B124" i="2"/>
  <c r="K123" i="2"/>
  <c r="I123" i="2"/>
  <c r="H123" i="2"/>
  <c r="D123" i="2"/>
  <c r="C123" i="2"/>
  <c r="B123" i="2"/>
  <c r="K122" i="2"/>
  <c r="I122" i="2"/>
  <c r="H122" i="2"/>
  <c r="D122" i="2"/>
  <c r="C122" i="2"/>
  <c r="B122" i="2"/>
  <c r="K121" i="2"/>
  <c r="I121" i="2"/>
  <c r="H121" i="2"/>
  <c r="D121" i="2"/>
  <c r="C121" i="2"/>
  <c r="B121" i="2"/>
  <c r="K120" i="2"/>
  <c r="I120" i="2"/>
  <c r="H120" i="2"/>
  <c r="D120" i="2"/>
  <c r="C120" i="2"/>
  <c r="B120" i="2"/>
  <c r="K119" i="2"/>
  <c r="I119" i="2"/>
  <c r="H119" i="2"/>
  <c r="D119" i="2"/>
  <c r="C119" i="2"/>
  <c r="B119" i="2"/>
  <c r="K118" i="2"/>
  <c r="I118" i="2"/>
  <c r="H118" i="2"/>
  <c r="D118" i="2"/>
  <c r="C118" i="2"/>
  <c r="B118" i="2"/>
  <c r="K117" i="2"/>
  <c r="I117" i="2"/>
  <c r="H117" i="2"/>
  <c r="D117" i="2"/>
  <c r="C117" i="2"/>
  <c r="B117" i="2"/>
  <c r="K116" i="2"/>
  <c r="I116" i="2"/>
  <c r="H116" i="2"/>
  <c r="D116" i="2"/>
  <c r="C116" i="2"/>
  <c r="B116" i="2"/>
  <c r="K115" i="2"/>
  <c r="I115" i="2"/>
  <c r="H115" i="2"/>
  <c r="D115" i="2"/>
  <c r="C115" i="2"/>
  <c r="B115" i="2"/>
  <c r="K114" i="2"/>
  <c r="I114" i="2"/>
  <c r="H114" i="2"/>
  <c r="D114" i="2"/>
  <c r="C114" i="2"/>
  <c r="B114" i="2"/>
  <c r="K113" i="2"/>
  <c r="I113" i="2"/>
  <c r="H113" i="2"/>
  <c r="D113" i="2"/>
  <c r="C113" i="2"/>
  <c r="B113" i="2"/>
  <c r="K112" i="2"/>
  <c r="I112" i="2"/>
  <c r="H112" i="2"/>
  <c r="D112" i="2"/>
  <c r="C112" i="2"/>
  <c r="B112" i="2"/>
  <c r="K111" i="2"/>
  <c r="I111" i="2"/>
  <c r="H111" i="2"/>
  <c r="D111" i="2"/>
  <c r="C111" i="2"/>
  <c r="B111" i="2"/>
  <c r="K110" i="2"/>
  <c r="I110" i="2"/>
  <c r="H110" i="2"/>
  <c r="D110" i="2"/>
  <c r="C110" i="2"/>
  <c r="B110" i="2"/>
  <c r="K109" i="2"/>
  <c r="I109" i="2"/>
  <c r="H109" i="2"/>
  <c r="D109" i="2"/>
  <c r="C109" i="2"/>
  <c r="B109" i="2"/>
  <c r="K108" i="2"/>
  <c r="I108" i="2"/>
  <c r="H108" i="2"/>
  <c r="D108" i="2"/>
  <c r="C108" i="2"/>
  <c r="B108" i="2"/>
  <c r="K107" i="2"/>
  <c r="I107" i="2"/>
  <c r="H107" i="2"/>
  <c r="D107" i="2"/>
  <c r="C107" i="2"/>
  <c r="B107" i="2"/>
  <c r="K106" i="2"/>
  <c r="I106" i="2"/>
  <c r="H106" i="2"/>
  <c r="D106" i="2"/>
  <c r="C106" i="2"/>
  <c r="B106" i="2"/>
  <c r="K105" i="2"/>
  <c r="I105" i="2"/>
  <c r="H105" i="2"/>
  <c r="D105" i="2"/>
  <c r="C105" i="2"/>
  <c r="B105" i="2"/>
  <c r="K104" i="2"/>
  <c r="I104" i="2"/>
  <c r="H104" i="2"/>
  <c r="D104" i="2"/>
  <c r="C104" i="2"/>
  <c r="B104" i="2"/>
  <c r="K103" i="2"/>
  <c r="I103" i="2"/>
  <c r="H103" i="2"/>
  <c r="D103" i="2"/>
  <c r="C103" i="2"/>
  <c r="B103" i="2"/>
  <c r="K102" i="2"/>
  <c r="I102" i="2"/>
  <c r="H102" i="2"/>
  <c r="D102" i="2"/>
  <c r="C102" i="2"/>
  <c r="B102" i="2"/>
  <c r="K101" i="2"/>
  <c r="I101" i="2"/>
  <c r="H101" i="2"/>
  <c r="D101" i="2"/>
  <c r="C101" i="2"/>
  <c r="B101" i="2"/>
  <c r="K100" i="2"/>
  <c r="I100" i="2"/>
  <c r="H100" i="2"/>
  <c r="D100" i="2"/>
  <c r="C100" i="2"/>
  <c r="B100" i="2"/>
  <c r="K99" i="2"/>
  <c r="I99" i="2"/>
  <c r="H99" i="2"/>
  <c r="D99" i="2"/>
  <c r="C99" i="2"/>
  <c r="B99" i="2"/>
  <c r="K98" i="2"/>
  <c r="I98" i="2"/>
  <c r="H98" i="2"/>
  <c r="D98" i="2"/>
  <c r="C98" i="2"/>
  <c r="B98" i="2"/>
  <c r="K97" i="2"/>
  <c r="I97" i="2"/>
  <c r="H97" i="2"/>
  <c r="D97" i="2"/>
  <c r="C97" i="2"/>
  <c r="B97" i="2"/>
  <c r="K96" i="2"/>
  <c r="I96" i="2"/>
  <c r="H96" i="2"/>
  <c r="D96" i="2"/>
  <c r="C96" i="2"/>
  <c r="B96" i="2"/>
  <c r="K95" i="2"/>
  <c r="I95" i="2"/>
  <c r="H95" i="2"/>
  <c r="D95" i="2"/>
  <c r="C95" i="2"/>
  <c r="B95" i="2"/>
  <c r="K94" i="2"/>
  <c r="I94" i="2"/>
  <c r="H94" i="2"/>
  <c r="D94" i="2"/>
  <c r="C94" i="2"/>
  <c r="B94" i="2"/>
  <c r="K93" i="2"/>
  <c r="I93" i="2"/>
  <c r="H93" i="2"/>
  <c r="D93" i="2"/>
  <c r="C93" i="2"/>
  <c r="B93" i="2"/>
  <c r="K92" i="2"/>
  <c r="I92" i="2"/>
  <c r="H92" i="2"/>
  <c r="D92" i="2"/>
  <c r="C92" i="2"/>
  <c r="B92" i="2"/>
  <c r="K91" i="2"/>
  <c r="I91" i="2"/>
  <c r="H91" i="2"/>
  <c r="D91" i="2"/>
  <c r="C91" i="2"/>
  <c r="B91" i="2"/>
  <c r="K90" i="2"/>
  <c r="I90" i="2"/>
  <c r="H90" i="2"/>
  <c r="D90" i="2"/>
  <c r="C90" i="2"/>
  <c r="B90" i="2"/>
  <c r="K89" i="2"/>
  <c r="I89" i="2"/>
  <c r="H89" i="2"/>
  <c r="D89" i="2"/>
  <c r="C89" i="2"/>
  <c r="B89" i="2"/>
  <c r="K88" i="2"/>
  <c r="I88" i="2"/>
  <c r="H88" i="2"/>
  <c r="D88" i="2"/>
  <c r="C88" i="2"/>
  <c r="B88" i="2"/>
  <c r="K87" i="2"/>
  <c r="I87" i="2"/>
  <c r="H87" i="2"/>
  <c r="D87" i="2"/>
  <c r="C87" i="2"/>
  <c r="B87" i="2"/>
  <c r="K86" i="2"/>
  <c r="I86" i="2"/>
  <c r="H86" i="2"/>
  <c r="D86" i="2"/>
  <c r="C86" i="2"/>
  <c r="B86" i="2"/>
  <c r="K85" i="2"/>
  <c r="I85" i="2"/>
  <c r="H85" i="2"/>
  <c r="D85" i="2"/>
  <c r="C85" i="2"/>
  <c r="B85" i="2"/>
  <c r="K84" i="2"/>
  <c r="I84" i="2"/>
  <c r="H84" i="2"/>
  <c r="D84" i="2"/>
  <c r="C84" i="2"/>
  <c r="B84" i="2"/>
  <c r="K83" i="2"/>
  <c r="I83" i="2"/>
  <c r="H83" i="2"/>
  <c r="D83" i="2"/>
  <c r="C83" i="2"/>
  <c r="B83" i="2"/>
  <c r="K82" i="2"/>
  <c r="I82" i="2"/>
  <c r="H82" i="2"/>
  <c r="D82" i="2"/>
  <c r="C82" i="2"/>
  <c r="B82" i="2"/>
  <c r="K81" i="2"/>
  <c r="I81" i="2"/>
  <c r="H81" i="2"/>
  <c r="D81" i="2"/>
  <c r="C81" i="2"/>
  <c r="B81" i="2"/>
  <c r="K80" i="2"/>
  <c r="I80" i="2"/>
  <c r="H80" i="2"/>
  <c r="D80" i="2"/>
  <c r="C80" i="2"/>
  <c r="B80" i="2"/>
  <c r="K79" i="2"/>
  <c r="I79" i="2"/>
  <c r="H79" i="2"/>
  <c r="D79" i="2"/>
  <c r="C79" i="2"/>
  <c r="B79" i="2"/>
  <c r="K78" i="2"/>
  <c r="I78" i="2"/>
  <c r="H78" i="2"/>
  <c r="D78" i="2"/>
  <c r="C78" i="2"/>
  <c r="B78" i="2"/>
  <c r="K77" i="2"/>
  <c r="I77" i="2"/>
  <c r="H77" i="2"/>
  <c r="D77" i="2"/>
  <c r="C77" i="2"/>
  <c r="B77" i="2"/>
  <c r="K76" i="2"/>
  <c r="I76" i="2"/>
  <c r="H76" i="2"/>
  <c r="D76" i="2"/>
  <c r="C76" i="2"/>
  <c r="B76" i="2"/>
  <c r="K75" i="2"/>
  <c r="I75" i="2"/>
  <c r="H75" i="2"/>
  <c r="D75" i="2"/>
  <c r="C75" i="2"/>
  <c r="B75" i="2"/>
  <c r="K74" i="2"/>
  <c r="I74" i="2"/>
  <c r="H74" i="2"/>
  <c r="D74" i="2"/>
  <c r="C74" i="2"/>
  <c r="B74" i="2"/>
  <c r="K73" i="2"/>
  <c r="I73" i="2"/>
  <c r="H73" i="2"/>
  <c r="D73" i="2"/>
  <c r="C73" i="2"/>
  <c r="B73" i="2"/>
  <c r="K72" i="2"/>
  <c r="I72" i="2"/>
  <c r="H72" i="2"/>
  <c r="D72" i="2"/>
  <c r="C72" i="2"/>
  <c r="B72" i="2"/>
  <c r="K71" i="2"/>
  <c r="I71" i="2"/>
  <c r="H71" i="2"/>
  <c r="D71" i="2"/>
  <c r="C71" i="2"/>
  <c r="B71" i="2"/>
  <c r="K70" i="2"/>
  <c r="I70" i="2"/>
  <c r="H70" i="2"/>
  <c r="D70" i="2"/>
  <c r="C70" i="2"/>
  <c r="B70" i="2"/>
  <c r="K69" i="2"/>
  <c r="I69" i="2"/>
  <c r="H69" i="2"/>
  <c r="D69" i="2"/>
  <c r="C69" i="2"/>
  <c r="B69" i="2"/>
  <c r="K68" i="2"/>
  <c r="I68" i="2"/>
  <c r="H68" i="2"/>
  <c r="D68" i="2"/>
  <c r="C68" i="2"/>
  <c r="B68" i="2"/>
  <c r="K67" i="2"/>
  <c r="I67" i="2"/>
  <c r="H67" i="2"/>
  <c r="D67" i="2"/>
  <c r="C67" i="2"/>
  <c r="B67" i="2"/>
  <c r="K66" i="2"/>
  <c r="I66" i="2"/>
  <c r="H66" i="2"/>
  <c r="D66" i="2"/>
  <c r="C66" i="2"/>
  <c r="B66" i="2"/>
  <c r="K65" i="2"/>
  <c r="I65" i="2"/>
  <c r="H65" i="2"/>
  <c r="D65" i="2"/>
  <c r="C65" i="2"/>
  <c r="B65" i="2"/>
  <c r="K64" i="2"/>
  <c r="I64" i="2"/>
  <c r="H64" i="2"/>
  <c r="D64" i="2"/>
  <c r="C64" i="2"/>
  <c r="B64" i="2"/>
  <c r="K63" i="2"/>
  <c r="I63" i="2"/>
  <c r="H63" i="2"/>
  <c r="D63" i="2"/>
  <c r="C63" i="2"/>
  <c r="B63" i="2"/>
  <c r="K62" i="2"/>
  <c r="I62" i="2"/>
  <c r="H62" i="2"/>
  <c r="D62" i="2"/>
  <c r="C62" i="2"/>
  <c r="B62" i="2"/>
  <c r="K61" i="2"/>
  <c r="I61" i="2"/>
  <c r="H61" i="2"/>
  <c r="D61" i="2"/>
  <c r="C61" i="2"/>
  <c r="B61" i="2"/>
  <c r="K60" i="2"/>
  <c r="I60" i="2"/>
  <c r="H60" i="2"/>
  <c r="D60" i="2"/>
  <c r="C60" i="2"/>
  <c r="B60" i="2"/>
  <c r="K59" i="2"/>
  <c r="I59" i="2"/>
  <c r="H59" i="2"/>
  <c r="D59" i="2"/>
  <c r="C59" i="2"/>
  <c r="B59" i="2"/>
  <c r="K58" i="2"/>
  <c r="I58" i="2"/>
  <c r="H58" i="2"/>
  <c r="D58" i="2"/>
  <c r="C58" i="2"/>
  <c r="B58" i="2"/>
  <c r="K57" i="2"/>
  <c r="I57" i="2"/>
  <c r="H57" i="2"/>
  <c r="D57" i="2"/>
  <c r="C57" i="2"/>
  <c r="B57" i="2"/>
  <c r="K56" i="2"/>
  <c r="I56" i="2"/>
  <c r="H56" i="2"/>
  <c r="D56" i="2"/>
  <c r="C56" i="2"/>
  <c r="B56" i="2"/>
  <c r="K55" i="2"/>
  <c r="I55" i="2"/>
  <c r="H55" i="2"/>
  <c r="D55" i="2"/>
  <c r="C55" i="2"/>
  <c r="B55" i="2"/>
  <c r="K54" i="2"/>
  <c r="I54" i="2"/>
  <c r="H54" i="2"/>
  <c r="D54" i="2"/>
  <c r="C54" i="2"/>
  <c r="B54" i="2"/>
  <c r="K53" i="2"/>
  <c r="I53" i="2"/>
  <c r="H53" i="2"/>
  <c r="D53" i="2"/>
  <c r="C53" i="2"/>
  <c r="B53" i="2"/>
  <c r="K52" i="2"/>
  <c r="I52" i="2"/>
  <c r="H52" i="2"/>
  <c r="D52" i="2"/>
  <c r="C52" i="2"/>
  <c r="B52" i="2"/>
  <c r="K51" i="2"/>
  <c r="I51" i="2"/>
  <c r="H51" i="2"/>
  <c r="D51" i="2"/>
  <c r="C51" i="2"/>
  <c r="B51" i="2"/>
  <c r="K50" i="2"/>
  <c r="I50" i="2"/>
  <c r="H50" i="2"/>
  <c r="D50" i="2"/>
  <c r="C50" i="2"/>
  <c r="B50" i="2"/>
  <c r="K49" i="2"/>
  <c r="I49" i="2"/>
  <c r="H49" i="2"/>
  <c r="D49" i="2"/>
  <c r="C49" i="2"/>
  <c r="B49" i="2"/>
  <c r="K48" i="2"/>
  <c r="I48" i="2"/>
  <c r="H48" i="2"/>
  <c r="D48" i="2"/>
  <c r="C48" i="2"/>
  <c r="B48" i="2"/>
  <c r="K47" i="2"/>
  <c r="I47" i="2"/>
  <c r="H47" i="2"/>
  <c r="D47" i="2"/>
  <c r="C47" i="2"/>
  <c r="B47" i="2"/>
  <c r="K46" i="2"/>
  <c r="I46" i="2"/>
  <c r="H46" i="2"/>
  <c r="D46" i="2"/>
  <c r="C46" i="2"/>
  <c r="B46" i="2"/>
  <c r="K45" i="2"/>
  <c r="I45" i="2"/>
  <c r="H45" i="2"/>
  <c r="D45" i="2"/>
  <c r="C45" i="2"/>
  <c r="B45" i="2"/>
  <c r="K44" i="2"/>
  <c r="I44" i="2"/>
  <c r="H44" i="2"/>
  <c r="D44" i="2"/>
  <c r="C44" i="2"/>
  <c r="B44" i="2"/>
  <c r="K43" i="2"/>
  <c r="I43" i="2"/>
  <c r="H43" i="2"/>
  <c r="D43" i="2"/>
  <c r="C43" i="2"/>
  <c r="B43" i="2"/>
  <c r="K42" i="2"/>
  <c r="I42" i="2"/>
  <c r="H42" i="2"/>
  <c r="D42" i="2"/>
  <c r="C42" i="2"/>
  <c r="B42" i="2"/>
  <c r="K41" i="2"/>
  <c r="I41" i="2"/>
  <c r="H41" i="2"/>
  <c r="D41" i="2"/>
  <c r="C41" i="2"/>
  <c r="B41" i="2"/>
  <c r="K40" i="2"/>
  <c r="I40" i="2"/>
  <c r="H40" i="2"/>
  <c r="D40" i="2"/>
  <c r="C40" i="2"/>
  <c r="B40" i="2"/>
  <c r="K39" i="2"/>
  <c r="I39" i="2"/>
  <c r="H39" i="2"/>
  <c r="D39" i="2"/>
  <c r="C39" i="2"/>
  <c r="B39" i="2"/>
  <c r="K38" i="2"/>
  <c r="I38" i="2"/>
  <c r="H38" i="2"/>
  <c r="D38" i="2"/>
  <c r="C38" i="2"/>
  <c r="B38" i="2"/>
  <c r="K37" i="2"/>
  <c r="I37" i="2"/>
  <c r="H37" i="2"/>
  <c r="D37" i="2"/>
  <c r="C37" i="2"/>
  <c r="B37" i="2"/>
  <c r="K36" i="2"/>
  <c r="I36" i="2"/>
  <c r="H36" i="2"/>
  <c r="D36" i="2"/>
  <c r="C36" i="2"/>
  <c r="B36" i="2"/>
  <c r="K35" i="2"/>
  <c r="I35" i="2"/>
  <c r="H35" i="2"/>
  <c r="D35" i="2"/>
  <c r="C35" i="2"/>
  <c r="B35" i="2"/>
  <c r="K34" i="2"/>
  <c r="I34" i="2"/>
  <c r="H34" i="2"/>
  <c r="D34" i="2"/>
  <c r="C34" i="2"/>
  <c r="B34" i="2"/>
  <c r="K33" i="2"/>
  <c r="I33" i="2"/>
  <c r="H33" i="2"/>
  <c r="D33" i="2"/>
  <c r="C33" i="2"/>
  <c r="B33" i="2"/>
  <c r="K32" i="2"/>
  <c r="I32" i="2"/>
  <c r="H32" i="2"/>
  <c r="D32" i="2"/>
  <c r="C32" i="2"/>
  <c r="B32" i="2"/>
  <c r="K31" i="2"/>
  <c r="I31" i="2"/>
  <c r="H31" i="2"/>
  <c r="D31" i="2"/>
  <c r="C31" i="2"/>
  <c r="B31" i="2"/>
  <c r="K30" i="2"/>
  <c r="I30" i="2"/>
  <c r="H30" i="2"/>
  <c r="D30" i="2"/>
  <c r="C30" i="2"/>
  <c r="B30" i="2"/>
  <c r="K29" i="2"/>
  <c r="I29" i="2"/>
  <c r="H29" i="2"/>
  <c r="D29" i="2"/>
  <c r="C29" i="2"/>
  <c r="B29" i="2"/>
  <c r="K28" i="2"/>
  <c r="I28" i="2"/>
  <c r="H28" i="2"/>
  <c r="D28" i="2"/>
  <c r="C28" i="2"/>
  <c r="B28" i="2"/>
  <c r="K27" i="2"/>
  <c r="I27" i="2"/>
  <c r="H27" i="2"/>
  <c r="D27" i="2"/>
  <c r="C27" i="2"/>
  <c r="B27" i="2"/>
  <c r="K26" i="2"/>
  <c r="H26" i="2"/>
  <c r="D26" i="2"/>
  <c r="C26" i="2"/>
  <c r="B26" i="2"/>
  <c r="K25" i="2"/>
  <c r="D25" i="2"/>
  <c r="C25" i="2"/>
  <c r="B25" i="2"/>
  <c r="K24" i="2"/>
  <c r="H24" i="2"/>
  <c r="D24" i="2"/>
  <c r="C24" i="2"/>
  <c r="B24" i="2"/>
  <c r="K23" i="2"/>
  <c r="H23" i="2"/>
  <c r="D23" i="2"/>
  <c r="C23" i="2"/>
  <c r="B23" i="2"/>
  <c r="K22" i="2"/>
  <c r="H22" i="2"/>
  <c r="D22" i="2"/>
  <c r="C22" i="2"/>
  <c r="B22" i="2"/>
  <c r="K21" i="2"/>
  <c r="H21" i="2"/>
  <c r="D21" i="2"/>
  <c r="C21" i="2"/>
  <c r="B21" i="2"/>
  <c r="K20" i="2"/>
  <c r="H20" i="2"/>
  <c r="D20" i="2"/>
  <c r="C20" i="2"/>
  <c r="B20" i="2"/>
  <c r="K19" i="2"/>
  <c r="H19" i="2"/>
  <c r="D19" i="2"/>
  <c r="C19" i="2"/>
  <c r="B19" i="2"/>
  <c r="K18" i="2"/>
  <c r="H18" i="2"/>
  <c r="D18" i="2"/>
  <c r="C18" i="2"/>
  <c r="B18" i="2"/>
  <c r="K17" i="2"/>
  <c r="H17" i="2"/>
  <c r="D17" i="2"/>
  <c r="C17" i="2"/>
  <c r="B17" i="2"/>
  <c r="K16" i="2"/>
  <c r="H16" i="2"/>
  <c r="D16" i="2"/>
  <c r="C16" i="2"/>
  <c r="B16" i="2"/>
  <c r="K15" i="2"/>
  <c r="H15" i="2"/>
  <c r="D15" i="2"/>
  <c r="C15" i="2"/>
  <c r="B15" i="2"/>
  <c r="K14" i="2"/>
  <c r="H14" i="2"/>
  <c r="D14" i="2"/>
  <c r="C14" i="2"/>
  <c r="B14" i="2"/>
  <c r="K13" i="2"/>
  <c r="H13" i="2"/>
  <c r="D13" i="2"/>
  <c r="C13" i="2"/>
  <c r="B13" i="2"/>
  <c r="K12" i="2"/>
  <c r="H12" i="2"/>
  <c r="D12" i="2"/>
  <c r="C12" i="2"/>
  <c r="B12" i="2"/>
  <c r="K11" i="2"/>
  <c r="H11" i="2"/>
  <c r="D11" i="2"/>
  <c r="C11" i="2"/>
  <c r="B11" i="2"/>
  <c r="K10" i="2"/>
  <c r="H10" i="2"/>
  <c r="D10" i="2"/>
  <c r="C10" i="2"/>
  <c r="B10" i="2"/>
  <c r="K9" i="2"/>
  <c r="H9" i="2"/>
  <c r="D9" i="2"/>
  <c r="C9" i="2"/>
  <c r="B9" i="2"/>
  <c r="K8" i="2"/>
  <c r="H8" i="2"/>
  <c r="D8" i="2"/>
  <c r="C8" i="2"/>
  <c r="B8" i="2"/>
  <c r="K7" i="2"/>
  <c r="H7" i="2"/>
  <c r="D7" i="2"/>
  <c r="C7" i="2"/>
  <c r="B7" i="2"/>
  <c r="K6" i="2"/>
  <c r="H6" i="2"/>
  <c r="D6" i="2"/>
  <c r="C6" i="2"/>
  <c r="B6" i="2"/>
  <c r="K5" i="2"/>
  <c r="H5" i="2"/>
  <c r="D5" i="2"/>
  <c r="C5" i="2"/>
  <c r="B5" i="2"/>
  <c r="K4" i="2"/>
  <c r="H4" i="2"/>
  <c r="D4" i="2"/>
  <c r="C4" i="2"/>
  <c r="B4" i="2"/>
  <c r="K3" i="2"/>
  <c r="H3" i="2"/>
  <c r="D3" i="2"/>
  <c r="C3" i="2"/>
  <c r="B3" i="2"/>
  <c r="K2" i="2"/>
  <c r="H2" i="2"/>
  <c r="D2" i="2"/>
  <c r="C2" i="2"/>
  <c r="B2" i="2"/>
</calcChain>
</file>

<file path=xl/sharedStrings.xml><?xml version="1.0" encoding="utf-8"?>
<sst xmlns="http://schemas.openxmlformats.org/spreadsheetml/2006/main" count="232" uniqueCount="84">
  <si>
    <t>Id</t>
  </si>
  <si>
    <t>Nombre</t>
  </si>
  <si>
    <t>horario ingreso Mañana</t>
  </si>
  <si>
    <t>Horario salida Mañana</t>
  </si>
  <si>
    <t>Horario Ingreso Tarde</t>
  </si>
  <si>
    <t>Horario Salida Tarde</t>
  </si>
  <si>
    <t>Contratacion</t>
  </si>
  <si>
    <t>Horario corrido</t>
  </si>
  <si>
    <t>Dias</t>
  </si>
  <si>
    <t>grupo</t>
  </si>
  <si>
    <t>Todos</t>
  </si>
  <si>
    <t>De Carli Gonzalo</t>
  </si>
  <si>
    <t>Mensual</t>
  </si>
  <si>
    <t>NO</t>
  </si>
  <si>
    <t>lunes a viernes</t>
  </si>
  <si>
    <t>Administracion</t>
  </si>
  <si>
    <t>Vanegas Leandro</t>
  </si>
  <si>
    <t>Quincenal</t>
  </si>
  <si>
    <t>Metalurgica</t>
  </si>
  <si>
    <t>Quignard Fernando</t>
  </si>
  <si>
    <t>Mario Butto</t>
  </si>
  <si>
    <t>Madera Adrián</t>
  </si>
  <si>
    <t>Zarate Olivera Luis</t>
  </si>
  <si>
    <t>Taller</t>
  </si>
  <si>
    <t>Godoy Denis</t>
  </si>
  <si>
    <t>Zurvera Mirna</t>
  </si>
  <si>
    <t>SI</t>
  </si>
  <si>
    <t>Suarez Elina</t>
  </si>
  <si>
    <t>Cordoba Gustavo</t>
  </si>
  <si>
    <t>Stieven Emiliano</t>
  </si>
  <si>
    <t>Gomez Pablo</t>
  </si>
  <si>
    <t>Fernandez Lara</t>
  </si>
  <si>
    <t>Bressan Jorge</t>
  </si>
  <si>
    <t>Gimenez Joel</t>
  </si>
  <si>
    <t>Moreno Jose Benjamin</t>
  </si>
  <si>
    <t>Juarez Paulina</t>
  </si>
  <si>
    <t>Maestranza</t>
  </si>
  <si>
    <t>Bruno Daniel</t>
  </si>
  <si>
    <t>Acosta Renzo</t>
  </si>
  <si>
    <t>Borgognoni Tomas</t>
  </si>
  <si>
    <t>Pelliza Roque</t>
  </si>
  <si>
    <t>Mansilla Luis Gabriel</t>
  </si>
  <si>
    <t>Zeller Lucas Ezequiel</t>
  </si>
  <si>
    <t>lunes , miercoles y viernes</t>
  </si>
  <si>
    <t>Lencina Rocio Pilar</t>
  </si>
  <si>
    <t>Pasante</t>
  </si>
  <si>
    <t>Perez Jonathan Joel</t>
  </si>
  <si>
    <t>Legajo</t>
  </si>
  <si>
    <t>Nombre (auto)</t>
  </si>
  <si>
    <t>Grupo (auto)</t>
  </si>
  <si>
    <t>Días laborales (auto)</t>
  </si>
  <si>
    <t>Tipo ausencia</t>
  </si>
  <si>
    <t>Fecha desde</t>
  </si>
  <si>
    <t>Fecha hasta</t>
  </si>
  <si>
    <t>Días corridos</t>
  </si>
  <si>
    <t>Estado</t>
  </si>
  <si>
    <t>Observación</t>
  </si>
  <si>
    <t>Clave control</t>
  </si>
  <si>
    <t>FERIADO</t>
  </si>
  <si>
    <t>APROBADO</t>
  </si>
  <si>
    <t>ACCIDENTE DE TRABAJO</t>
  </si>
  <si>
    <t>PRESENTE</t>
  </si>
  <si>
    <t>AUSENCIA</t>
  </si>
  <si>
    <t>VACACIONES</t>
  </si>
  <si>
    <t>Tipos de ausencia</t>
  </si>
  <si>
    <t>Estados posibles</t>
  </si>
  <si>
    <t>Instrucciones</t>
  </si>
  <si>
    <t>DOMINGO</t>
  </si>
  <si>
    <t>PENDIENTE</t>
  </si>
  <si>
    <t>1) En la hoja Ausencias cargá solo Legajo, Tipo, Fecha desde y Fecha hasta.</t>
  </si>
  <si>
    <t>2) Nombre, Grupo, Días y Horarios se completan solos desde Empleados.</t>
  </si>
  <si>
    <t>RECHAZADO</t>
  </si>
  <si>
    <t>3) Usá Estado para controlar si está aprobado o pendiente.</t>
  </si>
  <si>
    <t>ESTUDIAR</t>
  </si>
  <si>
    <t>4) No modifiques la hoja Empleados salvo que cambie un horario o ingrese/baje personal.</t>
  </si>
  <si>
    <t>CAPACITACIONES</t>
  </si>
  <si>
    <t>5) Esta plantilla queda lista para que tu app Python cruce ausencias contra las fichadas de Hikvision.</t>
  </si>
  <si>
    <t>SUSPENCION</t>
  </si>
  <si>
    <t>NO TRABAJADO</t>
  </si>
  <si>
    <t>LICENCIA</t>
  </si>
  <si>
    <t>VIAJES</t>
  </si>
  <si>
    <t>Paz Walter Fernando</t>
  </si>
  <si>
    <t>Serrano Ramirez Eduardo Ismael</t>
  </si>
  <si>
    <t>Barotto Emmanuel 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</si>
</sst>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6"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4" fontId="0" fillId="0" borderId="0" xfId="0" applyNumberFormat="1" applyBorder="1" applyAlignment="1">
      <alignment wrapText="1"/>
    </xf>
    <xf numFmtId="1" fontId="0" fillId="0" borderId="0" xfId="0" applyNumberFormat="1" applyBorder="1" applyAlignment="1">
      <alignment wrapText="1"/>
    </xf>
    <xf numFmtId="0" fontId="2" fillId="3" borderId="0" xfId="0" applyFont="1" applyFill="1" applyBorder="1" applyAlignment="1">
      <alignment horizontal="center" vertical="center" wrapText="1"/>
    </xf>
    <xf numFmtId="0" fontId="0" fillId="0" borderId="2" xfId="0"/>
    <xf numFmtId="0" fontId="3" fillId="0" borderId="0" xfId="0" applyFont="1" applyBorder="1"/>
    <xf numFmtId="0" fontId="3" fillId="0" borderId="2" xfId="0" applyFont="1"/>
    <xf numFmtId="0" fontId="3" fillId="0" borderId="0" xfId="0" applyFont="1" applyBorder="1" applyAlignment="1">
      <alignment wrapText="1"/>
    </xf>
    <xf numFmtId="0" fontId="0" fillId="0" borderId="2" xfId="0" applyAlignment="1">
      <alignment horizontal="center"/>
    </xf>
  </cellXfs>
  <cellStyles count="1">
    <cellStyle name="Normal" xfId="0" builtinId="0"/>
  </cellStyles>
  <dxfs count="8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5" formatCode="hh:mm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Empleados" displayName="TablaEmpleados" ref="A1:J30">
  <tableColumns count="10">
    <tableColumn id="1" name="Id"/>
    <tableColumn id="2" name="Nombre"/>
    <tableColumn id="3" name="horario ingreso Mañana"/>
    <tableColumn id="4" name="Horario salida Mañana"/>
    <tableColumn id="5" name="Horario Ingreso Tarde"/>
    <tableColumn id="6" name="Horario Salida Tarde"/>
    <tableColumn id="10" name="Contratacion" dataDxfId="7"/>
    <tableColumn id="7" name="Horario corrido"/>
    <tableColumn id="8" name="Dias"/>
    <tableColumn id="9" name="grup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Ausencias" displayName="TablaAusencias" ref="A1:K197">
  <tableColumns count="11">
    <tableColumn id="1" name="Legajo"/>
    <tableColumn id="2" name="Nombre (auto)" dataDxfId="6">
      <calculatedColumnFormula>IF(A2="","",IFERROR(VLOOKUP(A2,Empleados!A:B,2,FALSE),""))</calculatedColumnFormula>
    </tableColumn>
    <tableColumn id="3" name="Grupo (auto)" dataDxfId="5">
      <calculatedColumnFormula>IF(A2="","",IFERROR(VLOOKUP(A2,Empleados!A:J,9,FALSE),""))</calculatedColumnFormula>
    </tableColumn>
    <tableColumn id="4" name="Días laborales (auto)" dataDxfId="4">
      <calculatedColumnFormula>IF(A2="","",IFERROR(VLOOKUP(A2,Empleados!A:I,8,FALSE),""))</calculatedColumnFormula>
    </tableColumn>
    <tableColumn id="6" name="Tipo ausencia"/>
    <tableColumn id="7" name="Fecha desde"/>
    <tableColumn id="8" name="Fecha hasta"/>
    <tableColumn id="9" name="Días corridos">
      <calculatedColumnFormula>IF(OR(F2="",G2=""),"",G2-F2+1)</calculatedColumnFormula>
    </tableColumn>
    <tableColumn id="10" name="Estado">
      <calculatedColumnFormula>IF(A2="","","PENDIENTE")</calculatedColumnFormula>
    </tableColumn>
    <tableColumn id="11" name="Observación"/>
    <tableColumn id="12" name="Clave contr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68"/>
  <sheetViews>
    <sheetView topLeftCell="A13" workbookViewId="0">
      <selection activeCell="A31" sqref="A31"/>
    </sheetView>
  </sheetViews>
  <sheetFormatPr baseColWidth="10" defaultRowHeight="15" x14ac:dyDescent="0.25"/>
  <cols>
    <col min="1" max="1" width="10" style="1" customWidth="1"/>
    <col min="2" max="2" width="28" style="1" customWidth="1"/>
    <col min="3" max="6" width="18" style="1" customWidth="1"/>
    <col min="7" max="7" width="18" style="15" customWidth="1"/>
    <col min="8" max="8" width="16" style="1" customWidth="1"/>
    <col min="9" max="9" width="22.28515625" style="1" bestFit="1" customWidth="1"/>
    <col min="10" max="10" width="20" style="1" customWidth="1"/>
  </cols>
  <sheetData>
    <row r="1" spans="1:10" ht="28.9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s="11" customFormat="1" x14ac:dyDescent="0.25">
      <c r="A2" s="5">
        <v>1</v>
      </c>
      <c r="B2" s="2" t="s">
        <v>10</v>
      </c>
      <c r="C2" s="3"/>
      <c r="D2" s="3"/>
      <c r="E2" s="3"/>
      <c r="F2" s="3"/>
      <c r="G2" s="3"/>
      <c r="H2" s="2"/>
      <c r="I2" s="2"/>
      <c r="J2" s="2"/>
    </row>
    <row r="3" spans="1:10" x14ac:dyDescent="0.25">
      <c r="A3" s="5">
        <v>20</v>
      </c>
      <c r="B3" s="2" t="s">
        <v>11</v>
      </c>
      <c r="C3" s="3">
        <v>0.3125</v>
      </c>
      <c r="D3" s="3">
        <v>0.5</v>
      </c>
      <c r="E3" s="3">
        <v>0.55208333333333337</v>
      </c>
      <c r="F3" s="3">
        <v>0.73958333333333337</v>
      </c>
      <c r="G3" s="3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5">
        <v>43</v>
      </c>
      <c r="B4" s="2" t="s">
        <v>16</v>
      </c>
      <c r="C4" s="3">
        <v>0.27083333333333331</v>
      </c>
      <c r="D4" s="3">
        <v>0.5</v>
      </c>
      <c r="E4" s="3">
        <v>0.5625</v>
      </c>
      <c r="F4" s="3">
        <v>0.75</v>
      </c>
      <c r="G4" s="3" t="s">
        <v>17</v>
      </c>
      <c r="H4" s="2" t="s">
        <v>13</v>
      </c>
      <c r="I4" s="2" t="s">
        <v>14</v>
      </c>
      <c r="J4" s="2" t="s">
        <v>18</v>
      </c>
    </row>
    <row r="5" spans="1:10" x14ac:dyDescent="0.25">
      <c r="A5" s="5">
        <v>51</v>
      </c>
      <c r="B5" s="2" t="s">
        <v>19</v>
      </c>
      <c r="C5" s="3">
        <v>0.27083333333333331</v>
      </c>
      <c r="D5" s="3">
        <v>0.5</v>
      </c>
      <c r="E5" s="3">
        <v>0.5625</v>
      </c>
      <c r="F5" s="3">
        <v>0.75</v>
      </c>
      <c r="G5" s="3" t="s">
        <v>17</v>
      </c>
      <c r="H5" s="2" t="s">
        <v>13</v>
      </c>
      <c r="I5" s="2" t="s">
        <v>14</v>
      </c>
      <c r="J5" s="2" t="s">
        <v>18</v>
      </c>
    </row>
    <row r="6" spans="1:10" x14ac:dyDescent="0.25">
      <c r="A6" s="5">
        <v>52</v>
      </c>
      <c r="B6" s="2" t="s">
        <v>20</v>
      </c>
      <c r="C6" s="3">
        <v>0.27083333333333331</v>
      </c>
      <c r="D6" s="3">
        <v>0.5</v>
      </c>
      <c r="E6" s="3">
        <v>0.5625</v>
      </c>
      <c r="F6" s="3">
        <v>0.75</v>
      </c>
      <c r="G6" s="3" t="s">
        <v>17</v>
      </c>
      <c r="H6" s="2" t="s">
        <v>13</v>
      </c>
      <c r="I6" s="2" t="s">
        <v>14</v>
      </c>
      <c r="J6" s="2" t="s">
        <v>18</v>
      </c>
    </row>
    <row r="7" spans="1:10" x14ac:dyDescent="0.25">
      <c r="A7" s="5">
        <v>67</v>
      </c>
      <c r="B7" s="2" t="s">
        <v>21</v>
      </c>
      <c r="C7" s="3">
        <v>0.27083333333333331</v>
      </c>
      <c r="D7" s="3">
        <v>0.5</v>
      </c>
      <c r="E7" s="3">
        <v>0.5625</v>
      </c>
      <c r="F7" s="3">
        <v>0.75</v>
      </c>
      <c r="G7" s="3" t="s">
        <v>17</v>
      </c>
      <c r="H7" s="2" t="s">
        <v>13</v>
      </c>
      <c r="I7" s="2" t="s">
        <v>14</v>
      </c>
      <c r="J7" s="2" t="s">
        <v>18</v>
      </c>
    </row>
    <row r="8" spans="1:10" x14ac:dyDescent="0.25">
      <c r="A8" s="5">
        <v>79</v>
      </c>
      <c r="B8" s="2" t="s">
        <v>22</v>
      </c>
      <c r="C8" s="3">
        <v>0.3125</v>
      </c>
      <c r="D8" s="3">
        <v>0.5</v>
      </c>
      <c r="E8" s="3">
        <v>0.5625</v>
      </c>
      <c r="F8" s="3">
        <v>0.75</v>
      </c>
      <c r="G8" s="3" t="s">
        <v>17</v>
      </c>
      <c r="H8" s="2" t="s">
        <v>13</v>
      </c>
      <c r="I8" s="2" t="s">
        <v>14</v>
      </c>
      <c r="J8" s="2" t="s">
        <v>23</v>
      </c>
    </row>
    <row r="9" spans="1:10" x14ac:dyDescent="0.25">
      <c r="A9" s="5">
        <v>82</v>
      </c>
      <c r="B9" s="2" t="s">
        <v>24</v>
      </c>
      <c r="C9" s="3">
        <v>0.27083333333333331</v>
      </c>
      <c r="D9" s="3">
        <v>0.5</v>
      </c>
      <c r="E9" s="3">
        <v>0.5625</v>
      </c>
      <c r="F9" s="3">
        <v>0.75</v>
      </c>
      <c r="G9" s="3" t="s">
        <v>17</v>
      </c>
      <c r="H9" s="2" t="s">
        <v>13</v>
      </c>
      <c r="I9" s="2" t="s">
        <v>14</v>
      </c>
      <c r="J9" s="2" t="s">
        <v>18</v>
      </c>
    </row>
    <row r="10" spans="1:10" x14ac:dyDescent="0.25">
      <c r="A10" s="5">
        <v>83</v>
      </c>
      <c r="B10" s="2" t="s">
        <v>25</v>
      </c>
      <c r="C10" s="3">
        <v>0.29166666666666669</v>
      </c>
      <c r="D10" s="3"/>
      <c r="E10" s="3"/>
      <c r="F10" s="3">
        <v>0.58333333333333337</v>
      </c>
      <c r="G10" s="3" t="s">
        <v>12</v>
      </c>
      <c r="H10" s="2" t="s">
        <v>26</v>
      </c>
      <c r="I10" s="2" t="s">
        <v>14</v>
      </c>
      <c r="J10" s="2" t="s">
        <v>15</v>
      </c>
    </row>
    <row r="11" spans="1:10" x14ac:dyDescent="0.25">
      <c r="A11" s="5">
        <v>93</v>
      </c>
      <c r="B11" s="2" t="s">
        <v>27</v>
      </c>
      <c r="C11" s="3">
        <v>0.29166666666666669</v>
      </c>
      <c r="D11" s="3"/>
      <c r="E11" s="3"/>
      <c r="F11" s="3">
        <v>0.54166666666666663</v>
      </c>
      <c r="G11" s="3"/>
      <c r="H11" s="2" t="s">
        <v>26</v>
      </c>
      <c r="I11" s="2" t="s">
        <v>14</v>
      </c>
      <c r="J11" s="2" t="s">
        <v>15</v>
      </c>
    </row>
    <row r="12" spans="1:10" x14ac:dyDescent="0.25">
      <c r="A12" s="5">
        <v>94</v>
      </c>
      <c r="B12" s="2" t="s">
        <v>28</v>
      </c>
      <c r="C12" s="3">
        <v>0.3125</v>
      </c>
      <c r="D12" s="3">
        <v>0.5</v>
      </c>
      <c r="E12" s="3">
        <v>0.5625</v>
      </c>
      <c r="F12" s="3">
        <v>0.75</v>
      </c>
      <c r="G12" s="3"/>
      <c r="H12" s="2" t="s">
        <v>13</v>
      </c>
      <c r="I12" s="2" t="s">
        <v>14</v>
      </c>
      <c r="J12" s="2" t="s">
        <v>15</v>
      </c>
    </row>
    <row r="13" spans="1:10" x14ac:dyDescent="0.25">
      <c r="A13" s="5">
        <v>96</v>
      </c>
      <c r="B13" s="2" t="s">
        <v>29</v>
      </c>
      <c r="C13" s="3">
        <v>0.3125</v>
      </c>
      <c r="D13" s="3">
        <v>0.5</v>
      </c>
      <c r="E13" s="3">
        <v>0.5625</v>
      </c>
      <c r="F13" s="3">
        <v>0.75</v>
      </c>
      <c r="G13" s="3" t="s">
        <v>17</v>
      </c>
      <c r="H13" s="2" t="s">
        <v>13</v>
      </c>
      <c r="I13" s="2" t="s">
        <v>14</v>
      </c>
      <c r="J13" s="2" t="s">
        <v>23</v>
      </c>
    </row>
    <row r="14" spans="1:10" x14ac:dyDescent="0.25">
      <c r="A14" s="5">
        <v>97</v>
      </c>
      <c r="B14" s="2" t="s">
        <v>30</v>
      </c>
      <c r="C14" s="3">
        <v>0.3125</v>
      </c>
      <c r="D14" s="3">
        <v>0.5</v>
      </c>
      <c r="E14" s="3">
        <v>0.5625</v>
      </c>
      <c r="F14" s="3">
        <v>0.75</v>
      </c>
      <c r="G14" s="3" t="s">
        <v>17</v>
      </c>
      <c r="H14" s="2" t="s">
        <v>13</v>
      </c>
      <c r="I14" s="2" t="s">
        <v>14</v>
      </c>
      <c r="J14" s="2" t="s">
        <v>23</v>
      </c>
    </row>
    <row r="15" spans="1:10" x14ac:dyDescent="0.25">
      <c r="A15" s="5">
        <v>99</v>
      </c>
      <c r="B15" s="2" t="s">
        <v>31</v>
      </c>
      <c r="C15" s="3">
        <v>0.29166666666666669</v>
      </c>
      <c r="D15" s="3"/>
      <c r="E15" s="3"/>
      <c r="F15" s="3">
        <v>0.58333333333333337</v>
      </c>
      <c r="G15" s="3"/>
      <c r="H15" s="2" t="s">
        <v>26</v>
      </c>
      <c r="I15" s="2" t="s">
        <v>14</v>
      </c>
      <c r="J15" s="2" t="s">
        <v>15</v>
      </c>
    </row>
    <row r="16" spans="1:10" x14ac:dyDescent="0.25">
      <c r="A16" s="5">
        <v>100</v>
      </c>
      <c r="B16" s="2" t="s">
        <v>32</v>
      </c>
      <c r="C16" s="3">
        <v>0.3125</v>
      </c>
      <c r="D16" s="3">
        <v>0.5</v>
      </c>
      <c r="E16" s="3">
        <v>0.5625</v>
      </c>
      <c r="F16" s="3">
        <v>0.75</v>
      </c>
      <c r="G16" s="3" t="s">
        <v>17</v>
      </c>
      <c r="H16" s="2" t="s">
        <v>13</v>
      </c>
      <c r="I16" s="2" t="s">
        <v>14</v>
      </c>
      <c r="J16" s="2" t="s">
        <v>23</v>
      </c>
    </row>
    <row r="17" spans="1:10" x14ac:dyDescent="0.25">
      <c r="A17" s="5">
        <v>101</v>
      </c>
      <c r="B17" s="2" t="s">
        <v>33</v>
      </c>
      <c r="C17" s="3">
        <v>0.27083333333333331</v>
      </c>
      <c r="D17" s="3">
        <v>0.5</v>
      </c>
      <c r="E17" s="3">
        <v>0.5625</v>
      </c>
      <c r="F17" s="3">
        <v>0.75</v>
      </c>
      <c r="G17" s="3" t="s">
        <v>17</v>
      </c>
      <c r="H17" s="2" t="s">
        <v>13</v>
      </c>
      <c r="I17" s="2" t="s">
        <v>14</v>
      </c>
      <c r="J17" s="2" t="s">
        <v>18</v>
      </c>
    </row>
    <row r="18" spans="1:10" x14ac:dyDescent="0.25">
      <c r="A18" s="5">
        <v>105</v>
      </c>
      <c r="B18" s="2" t="s">
        <v>34</v>
      </c>
      <c r="C18" s="3">
        <v>0.3125</v>
      </c>
      <c r="D18" s="3">
        <v>0.5</v>
      </c>
      <c r="E18" s="3">
        <v>0.5625</v>
      </c>
      <c r="F18" s="3">
        <v>0.75</v>
      </c>
      <c r="G18" s="3" t="s">
        <v>17</v>
      </c>
      <c r="H18" s="2" t="s">
        <v>13</v>
      </c>
      <c r="I18" s="2" t="s">
        <v>14</v>
      </c>
      <c r="J18" s="2" t="s">
        <v>23</v>
      </c>
    </row>
    <row r="19" spans="1:10" x14ac:dyDescent="0.25">
      <c r="A19" s="5">
        <v>107</v>
      </c>
      <c r="B19" s="2" t="s">
        <v>35</v>
      </c>
      <c r="C19" s="3">
        <v>0.375</v>
      </c>
      <c r="D19" s="3"/>
      <c r="E19" s="3"/>
      <c r="F19" s="3">
        <v>0.625</v>
      </c>
      <c r="G19" s="3" t="s">
        <v>17</v>
      </c>
      <c r="H19" s="2" t="s">
        <v>26</v>
      </c>
      <c r="I19" s="2" t="s">
        <v>14</v>
      </c>
      <c r="J19" s="2" t="s">
        <v>36</v>
      </c>
    </row>
    <row r="20" spans="1:10" x14ac:dyDescent="0.25">
      <c r="A20" s="5">
        <v>108</v>
      </c>
      <c r="B20" s="2" t="s">
        <v>37</v>
      </c>
      <c r="C20" s="3">
        <v>0.27083333333333331</v>
      </c>
      <c r="D20" s="3">
        <v>0.5</v>
      </c>
      <c r="E20" s="3">
        <v>0.5625</v>
      </c>
      <c r="F20" s="3">
        <v>0.75</v>
      </c>
      <c r="G20" s="3" t="s">
        <v>17</v>
      </c>
      <c r="H20" s="2" t="s">
        <v>13</v>
      </c>
      <c r="I20" s="2" t="s">
        <v>14</v>
      </c>
      <c r="J20" s="2" t="s">
        <v>18</v>
      </c>
    </row>
    <row r="21" spans="1:10" x14ac:dyDescent="0.25">
      <c r="A21" s="5">
        <v>109</v>
      </c>
      <c r="B21" s="2" t="s">
        <v>38</v>
      </c>
      <c r="C21" s="3">
        <v>0.27083333333333331</v>
      </c>
      <c r="D21" s="3">
        <v>0.5</v>
      </c>
      <c r="E21" s="3">
        <v>0.5625</v>
      </c>
      <c r="F21" s="3">
        <v>0.75</v>
      </c>
      <c r="G21" s="3" t="s">
        <v>17</v>
      </c>
      <c r="H21" s="2" t="s">
        <v>13</v>
      </c>
      <c r="I21" s="2" t="s">
        <v>14</v>
      </c>
      <c r="J21" s="2" t="s">
        <v>18</v>
      </c>
    </row>
    <row r="22" spans="1:10" x14ac:dyDescent="0.25">
      <c r="A22" s="5">
        <v>111</v>
      </c>
      <c r="B22" s="2" t="s">
        <v>39</v>
      </c>
      <c r="C22" s="3">
        <v>0.3125</v>
      </c>
      <c r="D22" s="3">
        <v>0.5</v>
      </c>
      <c r="E22" s="3">
        <v>0.5625</v>
      </c>
      <c r="F22" s="3">
        <v>0.75</v>
      </c>
      <c r="G22" s="3" t="s">
        <v>17</v>
      </c>
      <c r="H22" s="2" t="s">
        <v>13</v>
      </c>
      <c r="I22" s="2" t="s">
        <v>14</v>
      </c>
      <c r="J22" s="2" t="s">
        <v>23</v>
      </c>
    </row>
    <row r="23" spans="1:10" x14ac:dyDescent="0.25">
      <c r="A23" s="5">
        <v>113</v>
      </c>
      <c r="B23" s="2" t="s">
        <v>40</v>
      </c>
      <c r="C23" s="3">
        <v>0.3125</v>
      </c>
      <c r="D23" s="3">
        <v>0.5</v>
      </c>
      <c r="E23" s="3">
        <v>0.5625</v>
      </c>
      <c r="F23" s="3">
        <v>0.75</v>
      </c>
      <c r="G23" s="3" t="s">
        <v>17</v>
      </c>
      <c r="H23" s="2" t="s">
        <v>13</v>
      </c>
      <c r="I23" s="2" t="s">
        <v>14</v>
      </c>
      <c r="J23" s="2" t="s">
        <v>36</v>
      </c>
    </row>
    <row r="24" spans="1:10" x14ac:dyDescent="0.25">
      <c r="A24" s="5">
        <v>117</v>
      </c>
      <c r="B24" s="2" t="s">
        <v>41</v>
      </c>
      <c r="C24" s="3">
        <v>0.27083333333333331</v>
      </c>
      <c r="D24" s="3">
        <v>0.5</v>
      </c>
      <c r="E24" s="3">
        <v>0.5625</v>
      </c>
      <c r="F24" s="3">
        <v>0.75</v>
      </c>
      <c r="G24" s="3" t="s">
        <v>17</v>
      </c>
      <c r="H24" s="2" t="s">
        <v>13</v>
      </c>
      <c r="I24" s="2" t="s">
        <v>14</v>
      </c>
      <c r="J24" s="2" t="s">
        <v>18</v>
      </c>
    </row>
    <row r="25" spans="1:10" x14ac:dyDescent="0.25">
      <c r="A25" s="5">
        <v>118</v>
      </c>
      <c r="B25" s="2" t="s">
        <v>42</v>
      </c>
      <c r="C25" s="3">
        <v>0.3125</v>
      </c>
      <c r="D25" s="3">
        <v>0.5</v>
      </c>
      <c r="E25" s="3"/>
      <c r="F25" s="3"/>
      <c r="G25" s="3" t="s">
        <v>12</v>
      </c>
      <c r="H25" s="2" t="s">
        <v>26</v>
      </c>
      <c r="I25" s="2" t="s">
        <v>43</v>
      </c>
      <c r="J25" s="2" t="s">
        <v>15</v>
      </c>
    </row>
    <row r="26" spans="1:10" x14ac:dyDescent="0.25">
      <c r="A26" s="5">
        <v>119</v>
      </c>
      <c r="B26" s="2" t="s">
        <v>44</v>
      </c>
      <c r="C26" s="3">
        <v>0.375</v>
      </c>
      <c r="D26" s="3"/>
      <c r="E26" s="3"/>
      <c r="F26" s="3">
        <v>0.70833333333333337</v>
      </c>
      <c r="G26" s="3" t="s">
        <v>12</v>
      </c>
      <c r="H26" s="2" t="s">
        <v>26</v>
      </c>
      <c r="I26" s="2" t="s">
        <v>14</v>
      </c>
      <c r="J26" s="2" t="s">
        <v>15</v>
      </c>
    </row>
    <row r="27" spans="1:10" x14ac:dyDescent="0.25">
      <c r="A27" s="5">
        <v>122</v>
      </c>
      <c r="B27" s="2" t="s">
        <v>46</v>
      </c>
      <c r="C27" s="3">
        <v>0.33333333333333331</v>
      </c>
      <c r="D27" s="3">
        <v>0.5</v>
      </c>
      <c r="E27" s="3"/>
      <c r="F27" s="3"/>
      <c r="G27" s="3" t="s">
        <v>17</v>
      </c>
      <c r="H27" s="2" t="s">
        <v>13</v>
      </c>
      <c r="I27" s="2" t="s">
        <v>14</v>
      </c>
      <c r="J27" s="2" t="s">
        <v>45</v>
      </c>
    </row>
    <row r="28" spans="1:10" x14ac:dyDescent="0.25">
      <c r="A28" s="2">
        <v>123</v>
      </c>
      <c r="B28" s="2" t="s">
        <v>81</v>
      </c>
      <c r="C28" s="3">
        <v>0.27083333333333331</v>
      </c>
      <c r="D28" s="3">
        <v>0.5</v>
      </c>
      <c r="E28" s="3">
        <v>0.5625</v>
      </c>
      <c r="F28" s="3">
        <v>0.75</v>
      </c>
      <c r="G28" s="3" t="s">
        <v>17</v>
      </c>
      <c r="H28" s="2" t="s">
        <v>13</v>
      </c>
      <c r="I28" s="2" t="s">
        <v>14</v>
      </c>
      <c r="J28" s="2" t="s">
        <v>18</v>
      </c>
    </row>
    <row r="29" spans="1:10" x14ac:dyDescent="0.25">
      <c r="A29" s="2">
        <v>124</v>
      </c>
      <c r="B29" s="2" t="s">
        <v>82</v>
      </c>
      <c r="C29" s="3">
        <v>0.3125</v>
      </c>
      <c r="D29" s="3">
        <v>0.5</v>
      </c>
      <c r="E29" s="3">
        <v>0.5625</v>
      </c>
      <c r="F29" s="3">
        <v>0.75</v>
      </c>
      <c r="G29" s="3" t="s">
        <v>12</v>
      </c>
      <c r="H29" s="2" t="s">
        <v>13</v>
      </c>
      <c r="I29" s="2" t="s">
        <v>14</v>
      </c>
      <c r="J29" s="2" t="s">
        <v>23</v>
      </c>
    </row>
    <row r="30" spans="1:10" x14ac:dyDescent="0.25">
      <c r="A30" s="2">
        <v>125</v>
      </c>
      <c r="B30" s="2" t="s">
        <v>83</v>
      </c>
      <c r="C30" s="3">
        <v>0.27083333333333331</v>
      </c>
      <c r="D30" s="3">
        <v>0.5</v>
      </c>
      <c r="E30" s="3">
        <v>0.5625</v>
      </c>
      <c r="F30" s="3">
        <v>0.75</v>
      </c>
      <c r="G30" s="3" t="s">
        <v>17</v>
      </c>
      <c r="H30" s="2" t="s">
        <v>13</v>
      </c>
      <c r="I30" s="2" t="s">
        <v>14</v>
      </c>
      <c r="J30" s="2" t="s">
        <v>18</v>
      </c>
    </row>
    <row r="1048568" spans="8:8" x14ac:dyDescent="0.25">
      <c r="H104856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7"/>
  <sheetViews>
    <sheetView tabSelected="1" topLeftCell="A13" workbookViewId="0">
      <selection activeCell="I24" sqref="I24"/>
    </sheetView>
  </sheetViews>
  <sheetFormatPr baseColWidth="10" defaultColWidth="8.85546875" defaultRowHeight="15" x14ac:dyDescent="0.25"/>
  <cols>
    <col min="1" max="1" width="12" customWidth="1"/>
    <col min="2" max="2" width="28" customWidth="1"/>
    <col min="3" max="3" width="22" customWidth="1"/>
    <col min="4" max="4" width="24" customWidth="1"/>
    <col min="5" max="5" width="22" customWidth="1"/>
    <col min="6" max="9" width="15" customWidth="1"/>
    <col min="10" max="10" width="35" customWidth="1"/>
    <col min="11" max="11" width="28" customWidth="1"/>
  </cols>
  <sheetData>
    <row r="1" spans="1:11" x14ac:dyDescent="0.25">
      <c r="A1" s="10" t="s">
        <v>47</v>
      </c>
      <c r="B1" s="10" t="s">
        <v>48</v>
      </c>
      <c r="C1" s="10" t="s">
        <v>49</v>
      </c>
      <c r="D1" s="10" t="s">
        <v>50</v>
      </c>
      <c r="E1" s="10" t="s">
        <v>51</v>
      </c>
      <c r="F1" s="10" t="s">
        <v>52</v>
      </c>
      <c r="G1" s="10" t="s">
        <v>53</v>
      </c>
      <c r="H1" s="10" t="s">
        <v>54</v>
      </c>
      <c r="I1" s="10" t="s">
        <v>55</v>
      </c>
      <c r="J1" s="10" t="s">
        <v>56</v>
      </c>
      <c r="K1" s="10" t="s">
        <v>57</v>
      </c>
    </row>
    <row r="2" spans="1:11" x14ac:dyDescent="0.25">
      <c r="A2" s="7">
        <v>1</v>
      </c>
      <c r="B2" s="7" t="str">
        <f>IF(A2="","",IFERROR(VLOOKUP(A2,Empleados!A:B,2,FALSE),""))</f>
        <v>Todos</v>
      </c>
      <c r="C2" s="7">
        <f>IF(A2="","",IFERROR(VLOOKUP(A2,Empleados!A:J,9,FALSE),""))</f>
        <v>0</v>
      </c>
      <c r="D2" s="7">
        <f>IF(A2="","",IFERROR(VLOOKUP(A2,Empleados!A:I,8,FALSE),""))</f>
        <v>0</v>
      </c>
      <c r="E2" s="7" t="s">
        <v>58</v>
      </c>
      <c r="F2" s="8">
        <v>46143</v>
      </c>
      <c r="G2" s="8">
        <v>46143</v>
      </c>
      <c r="H2" s="9">
        <f t="shared" ref="H2:H33" si="0">IF(OR(F2="",G2=""),"",G2-F2+1)</f>
        <v>1</v>
      </c>
      <c r="I2" s="7" t="s">
        <v>59</v>
      </c>
      <c r="J2" s="7"/>
      <c r="K2" s="7" t="str">
        <f t="shared" ref="K2:K33" si="1">IF(A2="","",A2&amp;"|"&amp;TEXT(F2,"yyyymmdd")&amp;"|"&amp;TEXT(G2,"yyyymmdd"))</f>
        <v>1|20260501|20260501</v>
      </c>
    </row>
    <row r="3" spans="1:11" ht="30.75" customHeight="1" x14ac:dyDescent="0.25">
      <c r="A3" s="7">
        <v>82</v>
      </c>
      <c r="B3" s="7" t="str">
        <f>IF(A3="","",IFERROR(VLOOKUP(A3,Empleados!A:B,2,FALSE),""))</f>
        <v>Godoy Denis</v>
      </c>
      <c r="C3" s="7" t="str">
        <f>IF(A3="","",IFERROR(VLOOKUP(A3,Empleados!A:J,9,FALSE),""))</f>
        <v>lunes a viernes</v>
      </c>
      <c r="D3" s="7" t="str">
        <f>IF(A3="","",IFERROR(VLOOKUP(A3,Empleados!A:I,8,FALSE),""))</f>
        <v>NO</v>
      </c>
      <c r="E3" s="7" t="s">
        <v>60</v>
      </c>
      <c r="F3" s="8">
        <v>46146</v>
      </c>
      <c r="G3" s="8">
        <v>46387</v>
      </c>
      <c r="H3" s="9">
        <f t="shared" si="0"/>
        <v>242</v>
      </c>
      <c r="I3" s="7" t="s">
        <v>59</v>
      </c>
      <c r="J3" s="7"/>
      <c r="K3" s="7" t="str">
        <f t="shared" si="1"/>
        <v>82|20260504|20261231</v>
      </c>
    </row>
    <row r="4" spans="1:11" ht="13.5" customHeight="1" x14ac:dyDescent="0.25">
      <c r="A4" s="7">
        <v>52</v>
      </c>
      <c r="B4" s="7" t="str">
        <f>IF(A4="","",IFERROR(VLOOKUP(A4,Empleados!A:B,2,FALSE),""))</f>
        <v>Mario Butto</v>
      </c>
      <c r="C4" s="7" t="str">
        <f>IF(A4="","",IFERROR(VLOOKUP(A4,Empleados!A:J,9,FALSE),""))</f>
        <v>lunes a viernes</v>
      </c>
      <c r="D4" s="7" t="str">
        <f>IF(A4="","",IFERROR(VLOOKUP(A4,Empleados!A:I,8,FALSE),""))</f>
        <v>NO</v>
      </c>
      <c r="E4" s="7" t="s">
        <v>60</v>
      </c>
      <c r="F4" s="8">
        <v>46146</v>
      </c>
      <c r="G4" s="8">
        <v>46387</v>
      </c>
      <c r="H4" s="9">
        <f t="shared" si="0"/>
        <v>242</v>
      </c>
      <c r="I4" s="7" t="s">
        <v>59</v>
      </c>
      <c r="J4" s="7"/>
      <c r="K4" s="7" t="str">
        <f t="shared" si="1"/>
        <v>52|20260504|20261231</v>
      </c>
    </row>
    <row r="5" spans="1:11" x14ac:dyDescent="0.25">
      <c r="A5" s="7">
        <v>1</v>
      </c>
      <c r="B5" s="7" t="str">
        <f>IF(A5="","",IFERROR(VLOOKUP(A5,Empleados!A:B,2,FALSE),""))</f>
        <v>Todos</v>
      </c>
      <c r="C5" s="7">
        <f>IF(A5="","",IFERROR(VLOOKUP(A5,Empleados!A:J,9,FALSE),""))</f>
        <v>0</v>
      </c>
      <c r="D5" s="7">
        <f>IF(A5="","",IFERROR(VLOOKUP(A5,Empleados!A:I,8,FALSE),""))</f>
        <v>0</v>
      </c>
      <c r="E5" s="7" t="s">
        <v>58</v>
      </c>
      <c r="F5" s="8">
        <v>46167</v>
      </c>
      <c r="G5" s="8">
        <v>46167</v>
      </c>
      <c r="H5" s="9">
        <f t="shared" si="0"/>
        <v>1</v>
      </c>
      <c r="I5" s="7" t="s">
        <v>59</v>
      </c>
      <c r="J5" s="7"/>
      <c r="K5" s="7" t="str">
        <f t="shared" si="1"/>
        <v>1|20260525|20260525</v>
      </c>
    </row>
    <row r="6" spans="1:11" x14ac:dyDescent="0.25">
      <c r="A6" s="7">
        <v>93</v>
      </c>
      <c r="B6" s="7" t="str">
        <f>IF(A6="","",IFERROR(VLOOKUP(A6,Empleados!A:B,2,FALSE),""))</f>
        <v>Suarez Elina</v>
      </c>
      <c r="C6" s="7" t="str">
        <f>IF(A6="","",IFERROR(VLOOKUP(A6,Empleados!A:J,9,FALSE),""))</f>
        <v>lunes a viernes</v>
      </c>
      <c r="D6" s="7" t="str">
        <f>IF(A6="","",IFERROR(VLOOKUP(A6,Empleados!A:I,8,FALSE),""))</f>
        <v>SI</v>
      </c>
      <c r="E6" s="7" t="s">
        <v>61</v>
      </c>
      <c r="F6" s="8">
        <v>46149</v>
      </c>
      <c r="G6" s="8">
        <v>46156</v>
      </c>
      <c r="H6" s="9">
        <f t="shared" si="0"/>
        <v>8</v>
      </c>
      <c r="I6" s="7" t="s">
        <v>59</v>
      </c>
      <c r="J6" s="7"/>
      <c r="K6" s="7" t="str">
        <f t="shared" si="1"/>
        <v>93|20260507|20260514</v>
      </c>
    </row>
    <row r="7" spans="1:11" x14ac:dyDescent="0.25">
      <c r="A7" s="7">
        <v>96</v>
      </c>
      <c r="B7" s="7" t="str">
        <f>IF(A7="","",IFERROR(VLOOKUP(A7,Empleados!A:B,2,FALSE),""))</f>
        <v>Stieven Emiliano</v>
      </c>
      <c r="C7" s="7" t="str">
        <f>IF(A7="","",IFERROR(VLOOKUP(A7,Empleados!A:J,9,FALSE),""))</f>
        <v>lunes a viernes</v>
      </c>
      <c r="D7" s="7" t="str">
        <f>IF(A7="","",IFERROR(VLOOKUP(A7,Empleados!A:I,8,FALSE),""))</f>
        <v>NO</v>
      </c>
      <c r="E7" s="7" t="s">
        <v>61</v>
      </c>
      <c r="F7" s="8">
        <v>46156</v>
      </c>
      <c r="G7" s="8">
        <v>46157</v>
      </c>
      <c r="H7" s="9">
        <f t="shared" si="0"/>
        <v>2</v>
      </c>
      <c r="I7" s="7" t="s">
        <v>59</v>
      </c>
      <c r="J7" s="7"/>
      <c r="K7" s="7" t="str">
        <f t="shared" si="1"/>
        <v>96|20260514|20260515</v>
      </c>
    </row>
    <row r="8" spans="1:11" x14ac:dyDescent="0.25">
      <c r="A8" s="7">
        <v>100</v>
      </c>
      <c r="B8" s="7" t="str">
        <f>IF(A8="","",IFERROR(VLOOKUP(A8,Empleados!A:B,2,FALSE),""))</f>
        <v>Bressan Jorge</v>
      </c>
      <c r="C8" s="7" t="str">
        <f>IF(A8="","",IFERROR(VLOOKUP(A8,Empleados!A:J,9,FALSE),""))</f>
        <v>lunes a viernes</v>
      </c>
      <c r="D8" s="7" t="str">
        <f>IF(A8="","",IFERROR(VLOOKUP(A8,Empleados!A:I,8,FALSE),""))</f>
        <v>NO</v>
      </c>
      <c r="E8" s="7" t="s">
        <v>61</v>
      </c>
      <c r="F8" s="8">
        <v>46154</v>
      </c>
      <c r="G8" s="8">
        <v>46155</v>
      </c>
      <c r="H8" s="9">
        <f t="shared" si="0"/>
        <v>2</v>
      </c>
      <c r="I8" s="7" t="s">
        <v>59</v>
      </c>
      <c r="J8" s="7"/>
      <c r="K8" s="7" t="str">
        <f t="shared" si="1"/>
        <v>100|20260512|20260513</v>
      </c>
    </row>
    <row r="9" spans="1:11" x14ac:dyDescent="0.25">
      <c r="A9" s="7">
        <v>51</v>
      </c>
      <c r="B9" s="7" t="str">
        <f>IF(A9="","",IFERROR(VLOOKUP(A9,Empleados!A:B,2,FALSE),""))</f>
        <v>Quignard Fernando</v>
      </c>
      <c r="C9" s="7" t="str">
        <f>IF(A9="","",IFERROR(VLOOKUP(A9,Empleados!A:J,9,FALSE),""))</f>
        <v>lunes a viernes</v>
      </c>
      <c r="D9" s="7" t="str">
        <f>IF(A9="","",IFERROR(VLOOKUP(A9,Empleados!A:I,8,FALSE),""))</f>
        <v>NO</v>
      </c>
      <c r="E9" s="7" t="s">
        <v>62</v>
      </c>
      <c r="F9" s="8">
        <v>46161</v>
      </c>
      <c r="G9" s="8">
        <v>46161</v>
      </c>
      <c r="H9" s="9">
        <f t="shared" si="0"/>
        <v>1</v>
      </c>
      <c r="I9" s="7" t="s">
        <v>59</v>
      </c>
      <c r="J9" s="7"/>
      <c r="K9" s="7" t="str">
        <f t="shared" si="1"/>
        <v>51|20260519|20260519</v>
      </c>
    </row>
    <row r="10" spans="1:11" x14ac:dyDescent="0.25">
      <c r="A10" s="7">
        <v>51</v>
      </c>
      <c r="B10" s="7" t="str">
        <f>IF(A10="","",IFERROR(VLOOKUP(A10,Empleados!A:B,2,FALSE),""))</f>
        <v>Quignard Fernando</v>
      </c>
      <c r="C10" s="7" t="str">
        <f>IF(A10="","",IFERROR(VLOOKUP(A10,Empleados!A:J,9,FALSE),""))</f>
        <v>lunes a viernes</v>
      </c>
      <c r="D10" s="7" t="str">
        <f>IF(A10="","",IFERROR(VLOOKUP(A10,Empleados!A:I,8,FALSE),""))</f>
        <v>NO</v>
      </c>
      <c r="E10" s="7" t="s">
        <v>61</v>
      </c>
      <c r="F10" s="8">
        <v>46154</v>
      </c>
      <c r="G10" s="8">
        <v>46156</v>
      </c>
      <c r="H10" s="9">
        <f t="shared" si="0"/>
        <v>3</v>
      </c>
      <c r="I10" s="7" t="s">
        <v>59</v>
      </c>
      <c r="J10" s="7"/>
      <c r="K10" s="7" t="str">
        <f t="shared" si="1"/>
        <v>51|20260512|20260514</v>
      </c>
    </row>
    <row r="11" spans="1:11" x14ac:dyDescent="0.25">
      <c r="A11" s="7">
        <v>20</v>
      </c>
      <c r="B11" s="7" t="str">
        <f>IF(A11="","",IFERROR(VLOOKUP(A11,Empleados!A:B,2,FALSE),""))</f>
        <v>De Carli Gonzalo</v>
      </c>
      <c r="C11" s="7" t="str">
        <f>IF(A11="","",IFERROR(VLOOKUP(A11,Empleados!A:J,9,FALSE),""))</f>
        <v>lunes a viernes</v>
      </c>
      <c r="D11" s="7" t="str">
        <f>IF(A11="","",IFERROR(VLOOKUP(A11,Empleados!A:I,8,FALSE),""))</f>
        <v>NO</v>
      </c>
      <c r="E11" s="7" t="s">
        <v>63</v>
      </c>
      <c r="F11" s="8">
        <v>46164</v>
      </c>
      <c r="G11" s="8">
        <v>46164</v>
      </c>
      <c r="H11" s="9">
        <f t="shared" si="0"/>
        <v>1</v>
      </c>
      <c r="I11" s="7" t="s">
        <v>59</v>
      </c>
      <c r="J11" s="7"/>
      <c r="K11" s="7" t="str">
        <f t="shared" si="1"/>
        <v>20|20260522|20260522</v>
      </c>
    </row>
    <row r="12" spans="1:11" x14ac:dyDescent="0.25">
      <c r="A12" s="7">
        <v>20</v>
      </c>
      <c r="B12" s="7" t="str">
        <f>IF(A12="","",IFERROR(VLOOKUP(A12,Empleados!A:B,2,FALSE),""))</f>
        <v>De Carli Gonzalo</v>
      </c>
      <c r="C12" s="7" t="str">
        <f>IF(A12="","",IFERROR(VLOOKUP(A12,Empleados!A:J,9,FALSE),""))</f>
        <v>lunes a viernes</v>
      </c>
      <c r="D12" s="7" t="str">
        <f>IF(A12="","",IFERROR(VLOOKUP(A12,Empleados!A:I,8,FALSE),""))</f>
        <v>NO</v>
      </c>
      <c r="E12" s="7" t="s">
        <v>61</v>
      </c>
      <c r="F12" s="8">
        <v>46170</v>
      </c>
      <c r="G12" s="8">
        <v>46170</v>
      </c>
      <c r="H12" s="9">
        <f t="shared" si="0"/>
        <v>1</v>
      </c>
      <c r="I12" s="7" t="s">
        <v>59</v>
      </c>
      <c r="J12" s="7"/>
      <c r="K12" s="7" t="str">
        <f t="shared" si="1"/>
        <v>20|20260528|20260528</v>
      </c>
    </row>
    <row r="13" spans="1:11" x14ac:dyDescent="0.25">
      <c r="A13" s="7">
        <v>97</v>
      </c>
      <c r="B13" s="7" t="str">
        <f>IF(A13="","",IFERROR(VLOOKUP(A13,Empleados!A:B,2,FALSE),""))</f>
        <v>Gomez Pablo</v>
      </c>
      <c r="C13" s="7" t="str">
        <f>IF(A13="","",IFERROR(VLOOKUP(A13,Empleados!A:J,9,FALSE),""))</f>
        <v>lunes a viernes</v>
      </c>
      <c r="D13" s="7" t="str">
        <f>IF(A13="","",IFERROR(VLOOKUP(A13,Empleados!A:I,8,FALSE),""))</f>
        <v>NO</v>
      </c>
      <c r="E13" s="7" t="s">
        <v>61</v>
      </c>
      <c r="F13" s="8">
        <v>46168</v>
      </c>
      <c r="G13" s="8">
        <v>46169</v>
      </c>
      <c r="H13" s="9">
        <f t="shared" si="0"/>
        <v>2</v>
      </c>
      <c r="I13" s="7" t="s">
        <v>59</v>
      </c>
      <c r="J13" s="7"/>
      <c r="K13" s="7" t="str">
        <f t="shared" si="1"/>
        <v>97|20260526|20260527</v>
      </c>
    </row>
    <row r="14" spans="1:11" x14ac:dyDescent="0.25">
      <c r="A14" s="7">
        <v>96</v>
      </c>
      <c r="B14" s="7" t="str">
        <f>IF(A14="","",IFERROR(VLOOKUP(A14,Empleados!A:B,2,FALSE),""))</f>
        <v>Stieven Emiliano</v>
      </c>
      <c r="C14" s="7" t="str">
        <f>IF(A14="","",IFERROR(VLOOKUP(A14,Empleados!A:J,9,FALSE),""))</f>
        <v>lunes a viernes</v>
      </c>
      <c r="D14" s="7" t="str">
        <f>IF(A14="","",IFERROR(VLOOKUP(A14,Empleados!A:I,8,FALSE),""))</f>
        <v>NO</v>
      </c>
      <c r="E14" s="7" t="s">
        <v>61</v>
      </c>
      <c r="F14" s="8">
        <v>46168</v>
      </c>
      <c r="G14" s="8">
        <v>46169</v>
      </c>
      <c r="H14" s="9">
        <f t="shared" si="0"/>
        <v>2</v>
      </c>
      <c r="I14" s="7" t="s">
        <v>59</v>
      </c>
      <c r="J14" s="7"/>
      <c r="K14" s="7" t="str">
        <f t="shared" si="1"/>
        <v>96|20260526|20260527</v>
      </c>
    </row>
    <row r="15" spans="1:11" x14ac:dyDescent="0.25">
      <c r="A15" s="7">
        <v>100</v>
      </c>
      <c r="B15" s="7" t="str">
        <f>IF(A15="","",IFERROR(VLOOKUP(A15,Empleados!A:B,2,FALSE),""))</f>
        <v>Bressan Jorge</v>
      </c>
      <c r="C15" s="7" t="str">
        <f>IF(A15="","",IFERROR(VLOOKUP(A15,Empleados!A:J,9,FALSE),""))</f>
        <v>lunes a viernes</v>
      </c>
      <c r="D15" s="7" t="str">
        <f>IF(A15="","",IFERROR(VLOOKUP(A15,Empleados!A:I,8,FALSE),""))</f>
        <v>NO</v>
      </c>
      <c r="E15" s="7" t="s">
        <v>61</v>
      </c>
      <c r="F15" s="8">
        <v>46157</v>
      </c>
      <c r="G15" s="8">
        <v>46157</v>
      </c>
      <c r="H15" s="9">
        <f t="shared" si="0"/>
        <v>1</v>
      </c>
      <c r="I15" s="7" t="s">
        <v>59</v>
      </c>
      <c r="J15" s="7"/>
      <c r="K15" s="7" t="str">
        <f t="shared" si="1"/>
        <v>100|20260515|20260515</v>
      </c>
    </row>
    <row r="16" spans="1:11" x14ac:dyDescent="0.25">
      <c r="A16" s="7">
        <v>113</v>
      </c>
      <c r="B16" s="7" t="str">
        <f>IF(A16="","",IFERROR(VLOOKUP(A16,Empleados!A:B,2,FALSE),""))</f>
        <v>Pelliza Roque</v>
      </c>
      <c r="C16" s="7" t="str">
        <f>IF(A16="","",IFERROR(VLOOKUP(A16,Empleados!A:J,9,FALSE),""))</f>
        <v>lunes a viernes</v>
      </c>
      <c r="D16" s="7" t="str">
        <f>IF(A16="","",IFERROR(VLOOKUP(A16,Empleados!A:I,8,FALSE),""))</f>
        <v>NO</v>
      </c>
      <c r="E16" s="7" t="s">
        <v>61</v>
      </c>
      <c r="F16" s="8">
        <v>46154</v>
      </c>
      <c r="G16" s="8">
        <v>46154</v>
      </c>
      <c r="H16" s="9">
        <f t="shared" si="0"/>
        <v>1</v>
      </c>
      <c r="I16" s="7" t="s">
        <v>59</v>
      </c>
      <c r="J16" s="7"/>
      <c r="K16" s="7" t="str">
        <f t="shared" si="1"/>
        <v>113|20260512|20260512</v>
      </c>
    </row>
    <row r="17" spans="1:11" x14ac:dyDescent="0.25">
      <c r="A17" s="7">
        <v>113</v>
      </c>
      <c r="B17" s="7" t="str">
        <f>IF(A17="","",IFERROR(VLOOKUP(A17,Empleados!A:B,2,FALSE),""))</f>
        <v>Pelliza Roque</v>
      </c>
      <c r="C17" s="7" t="str">
        <f>IF(A17="","",IFERROR(VLOOKUP(A17,Empleados!A:J,9,FALSE),""))</f>
        <v>lunes a viernes</v>
      </c>
      <c r="D17" s="7" t="str">
        <f>IF(A17="","",IFERROR(VLOOKUP(A17,Empleados!A:I,8,FALSE),""))</f>
        <v>NO</v>
      </c>
      <c r="E17" s="7" t="s">
        <v>61</v>
      </c>
      <c r="F17" s="8">
        <v>46157</v>
      </c>
      <c r="G17" s="8">
        <v>46157</v>
      </c>
      <c r="H17" s="9">
        <f t="shared" si="0"/>
        <v>1</v>
      </c>
      <c r="I17" s="7" t="s">
        <v>59</v>
      </c>
      <c r="J17" s="7"/>
      <c r="K17" s="7" t="str">
        <f t="shared" si="1"/>
        <v>113|20260515|20260515</v>
      </c>
    </row>
    <row r="18" spans="1:11" x14ac:dyDescent="0.25">
      <c r="A18" s="7">
        <v>113</v>
      </c>
      <c r="B18" s="7" t="str">
        <f>IF(A18="","",IFERROR(VLOOKUP(A18,Empleados!A:B,2,FALSE),""))</f>
        <v>Pelliza Roque</v>
      </c>
      <c r="C18" s="7" t="str">
        <f>IF(A18="","",IFERROR(VLOOKUP(A18,Empleados!A:J,9,FALSE),""))</f>
        <v>lunes a viernes</v>
      </c>
      <c r="D18" s="7" t="str">
        <f>IF(A18="","",IFERROR(VLOOKUP(A18,Empleados!A:I,8,FALSE),""))</f>
        <v>NO</v>
      </c>
      <c r="E18" s="7" t="s">
        <v>62</v>
      </c>
      <c r="F18" s="8">
        <v>46164</v>
      </c>
      <c r="G18" s="8">
        <v>46164</v>
      </c>
      <c r="H18" s="9">
        <f t="shared" si="0"/>
        <v>1</v>
      </c>
      <c r="I18" s="7" t="s">
        <v>59</v>
      </c>
      <c r="J18" s="7"/>
      <c r="K18" s="7" t="str">
        <f t="shared" si="1"/>
        <v>113|20260522|20260522</v>
      </c>
    </row>
    <row r="19" spans="1:11" x14ac:dyDescent="0.25">
      <c r="A19" s="7">
        <v>109</v>
      </c>
      <c r="B19" s="7" t="str">
        <f>IF(A19="","",IFERROR(VLOOKUP(A19,Empleados!A:B,2,FALSE),""))</f>
        <v>Acosta Renzo</v>
      </c>
      <c r="C19" s="7" t="str">
        <f>IF(A19="","",IFERROR(VLOOKUP(A19,Empleados!A:J,9,FALSE),""))</f>
        <v>lunes a viernes</v>
      </c>
      <c r="D19" s="7" t="str">
        <f>IF(A19="","",IFERROR(VLOOKUP(A19,Empleados!A:I,8,FALSE),""))</f>
        <v>NO</v>
      </c>
      <c r="E19" s="7" t="s">
        <v>61</v>
      </c>
      <c r="F19" s="8">
        <v>46169</v>
      </c>
      <c r="G19" s="8">
        <v>46170</v>
      </c>
      <c r="H19" s="9">
        <f t="shared" si="0"/>
        <v>2</v>
      </c>
      <c r="I19" s="7" t="s">
        <v>59</v>
      </c>
      <c r="J19" s="7"/>
      <c r="K19" s="7" t="str">
        <f t="shared" si="1"/>
        <v>109|20260527|20260528</v>
      </c>
    </row>
    <row r="20" spans="1:11" x14ac:dyDescent="0.25">
      <c r="A20" s="7">
        <v>83</v>
      </c>
      <c r="B20" s="7" t="str">
        <f>IF(A20="","",IFERROR(VLOOKUP(A20,Empleados!A:B,2,FALSE),""))</f>
        <v>Zurvera Mirna</v>
      </c>
      <c r="C20" s="7" t="str">
        <f>IF(A20="","",IFERROR(VLOOKUP(A20,Empleados!A:J,9,FALSE),""))</f>
        <v>lunes a viernes</v>
      </c>
      <c r="D20" s="7" t="str">
        <f>IF(A20="","",IFERROR(VLOOKUP(A20,Empleados!A:I,8,FALSE),""))</f>
        <v>SI</v>
      </c>
      <c r="E20" s="7" t="s">
        <v>61</v>
      </c>
      <c r="F20" s="8">
        <v>46156</v>
      </c>
      <c r="G20" s="8">
        <v>46156</v>
      </c>
      <c r="H20" s="9">
        <f t="shared" si="0"/>
        <v>1</v>
      </c>
      <c r="I20" s="7" t="s">
        <v>59</v>
      </c>
      <c r="J20" s="7"/>
      <c r="K20" s="7" t="str">
        <f t="shared" si="1"/>
        <v>83|20260514|20260514</v>
      </c>
    </row>
    <row r="21" spans="1:11" x14ac:dyDescent="0.25">
      <c r="A21" s="7">
        <v>109</v>
      </c>
      <c r="B21" s="7" t="str">
        <f>IF(A21="","",IFERROR(VLOOKUP(A21,Empleados!A:B,2,FALSE),""))</f>
        <v>Acosta Renzo</v>
      </c>
      <c r="C21" s="7" t="str">
        <f>IF(A21="","",IFERROR(VLOOKUP(A21,Empleados!A:J,9,FALSE),""))</f>
        <v>lunes a viernes</v>
      </c>
      <c r="D21" s="7" t="str">
        <f>IF(A21="","",IFERROR(VLOOKUP(A21,Empleados!A:I,8,FALSE),""))</f>
        <v>NO</v>
      </c>
      <c r="E21" s="7" t="s">
        <v>61</v>
      </c>
      <c r="F21" s="8">
        <v>46146</v>
      </c>
      <c r="G21" s="8">
        <v>46146</v>
      </c>
      <c r="H21" s="9">
        <f t="shared" si="0"/>
        <v>1</v>
      </c>
      <c r="I21" s="7" t="s">
        <v>59</v>
      </c>
      <c r="J21" s="7"/>
      <c r="K21" s="7" t="str">
        <f t="shared" si="1"/>
        <v>109|20260504|20260504</v>
      </c>
    </row>
    <row r="22" spans="1:11" x14ac:dyDescent="0.25">
      <c r="A22" s="7">
        <v>120</v>
      </c>
      <c r="B22" s="7" t="str">
        <f>IF(A22="","",IFERROR(VLOOKUP(A22,Empleados!A:B,2,FALSE),""))</f>
        <v/>
      </c>
      <c r="C22" s="7" t="str">
        <f>IF(A22="","",IFERROR(VLOOKUP(A22,Empleados!A:J,9,FALSE),""))</f>
        <v/>
      </c>
      <c r="D22" s="7" t="str">
        <f>IF(A22="","",IFERROR(VLOOKUP(A22,Empleados!A:I,8,FALSE),""))</f>
        <v/>
      </c>
      <c r="E22" s="7" t="s">
        <v>61</v>
      </c>
      <c r="F22" s="8">
        <v>46156</v>
      </c>
      <c r="G22" s="8">
        <v>46156</v>
      </c>
      <c r="H22" s="9">
        <f t="shared" si="0"/>
        <v>1</v>
      </c>
      <c r="I22" s="7" t="s">
        <v>59</v>
      </c>
      <c r="J22" s="7"/>
      <c r="K22" s="7" t="str">
        <f t="shared" si="1"/>
        <v>120|20260514|20260514</v>
      </c>
    </row>
    <row r="23" spans="1:11" x14ac:dyDescent="0.25">
      <c r="A23" s="7">
        <v>121</v>
      </c>
      <c r="B23" s="7" t="str">
        <f>IF(A23="","",IFERROR(VLOOKUP(A23,Empleados!A:B,2,FALSE),""))</f>
        <v/>
      </c>
      <c r="C23" s="7" t="str">
        <f>IF(A23="","",IFERROR(VLOOKUP(A23,Empleados!A:J,9,FALSE),""))</f>
        <v/>
      </c>
      <c r="D23" s="7" t="str">
        <f>IF(A23="","",IFERROR(VLOOKUP(A23,Empleados!A:I,8,FALSE),""))</f>
        <v/>
      </c>
      <c r="E23" s="14" t="s">
        <v>61</v>
      </c>
      <c r="F23" s="8">
        <v>46156</v>
      </c>
      <c r="G23" s="8">
        <v>46156</v>
      </c>
      <c r="H23" s="9">
        <f t="shared" si="0"/>
        <v>1</v>
      </c>
      <c r="I23" s="7" t="s">
        <v>59</v>
      </c>
      <c r="J23" s="7"/>
      <c r="K23" s="7" t="str">
        <f t="shared" si="1"/>
        <v>121|20260514|20260514</v>
      </c>
    </row>
    <row r="24" spans="1:11" x14ac:dyDescent="0.25">
      <c r="A24" s="7">
        <v>109</v>
      </c>
      <c r="B24" s="7" t="str">
        <f>IF(A24="","",IFERROR(VLOOKUP(A24,Empleados!A:B,2,FALSE),""))</f>
        <v>Acosta Renzo</v>
      </c>
      <c r="C24" s="7" t="str">
        <f>IF(A24="","",IFERROR(VLOOKUP(A24,Empleados!A:J,9,FALSE),""))</f>
        <v>lunes a viernes</v>
      </c>
      <c r="D24" s="7" t="str">
        <f>IF(A24="","",IFERROR(VLOOKUP(A24,Empleados!A:I,8,FALSE),""))</f>
        <v>NO</v>
      </c>
      <c r="E24" s="7" t="s">
        <v>61</v>
      </c>
      <c r="F24" s="8">
        <v>46190</v>
      </c>
      <c r="G24" s="8">
        <v>46191</v>
      </c>
      <c r="H24" s="9">
        <f t="shared" si="0"/>
        <v>2</v>
      </c>
      <c r="I24" s="7" t="s">
        <v>59</v>
      </c>
      <c r="J24" s="7"/>
      <c r="K24" s="7" t="str">
        <f t="shared" si="1"/>
        <v>109|20260617|20260618</v>
      </c>
    </row>
    <row r="25" spans="1:11" x14ac:dyDescent="0.25">
      <c r="A25" s="7">
        <v>1</v>
      </c>
      <c r="B25" s="7" t="str">
        <f>IF(A25="","",IFERROR(VLOOKUP(A25,Empleados!A:B,2,FALSE),""))</f>
        <v>Todos</v>
      </c>
      <c r="C25" s="7">
        <f>IF(A25="","",IFERROR(VLOOKUP(A25,Empleados!A:J,9,FALSE),""))</f>
        <v>0</v>
      </c>
      <c r="D25" s="7">
        <f>IF(A25="","",IFERROR(VLOOKUP(A25,Empleados!A:I,8,FALSE),""))</f>
        <v>0</v>
      </c>
      <c r="E25" s="7" t="s">
        <v>58</v>
      </c>
      <c r="F25" s="8">
        <v>46188</v>
      </c>
      <c r="G25" s="8">
        <v>46188</v>
      </c>
      <c r="H25" s="9">
        <f t="shared" si="0"/>
        <v>1</v>
      </c>
      <c r="I25" s="7" t="s">
        <v>59</v>
      </c>
      <c r="J25" s="7"/>
      <c r="K25" s="7" t="str">
        <f t="shared" si="1"/>
        <v>1|20260615|20260615</v>
      </c>
    </row>
    <row r="26" spans="1:11" x14ac:dyDescent="0.25">
      <c r="A26" s="7">
        <v>111</v>
      </c>
      <c r="B26" s="7" t="str">
        <f>IF(A26="","",IFERROR(VLOOKUP(A26,Empleados!A:B,2,FALSE),""))</f>
        <v>Borgognoni Tomas</v>
      </c>
      <c r="C26" s="7" t="str">
        <f>IF(A26="","",IFERROR(VLOOKUP(A26,Empleados!A:J,9,FALSE),""))</f>
        <v>lunes a viernes</v>
      </c>
      <c r="D26" s="7" t="str">
        <f>IF(A26="","",IFERROR(VLOOKUP(A26,Empleados!A:I,8,FALSE),""))</f>
        <v>NO</v>
      </c>
      <c r="E26" s="14" t="s">
        <v>62</v>
      </c>
      <c r="F26" s="8">
        <v>46196</v>
      </c>
      <c r="G26" s="8">
        <v>46196</v>
      </c>
      <c r="H26" s="9">
        <f t="shared" si="0"/>
        <v>1</v>
      </c>
      <c r="I26" s="7" t="s">
        <v>59</v>
      </c>
      <c r="J26" s="7"/>
      <c r="K26" s="7" t="str">
        <f t="shared" si="1"/>
        <v>111|20260623|20260623</v>
      </c>
    </row>
    <row r="27" spans="1:11" x14ac:dyDescent="0.25">
      <c r="A27" s="7"/>
      <c r="B27" s="7" t="str">
        <f>IF(A27="","",IFERROR(VLOOKUP(A27,Empleados!A:B,2,FALSE),""))</f>
        <v/>
      </c>
      <c r="C27" s="7" t="str">
        <f>IF(A27="","",IFERROR(VLOOKUP(A27,Empleados!A:J,9,FALSE),""))</f>
        <v/>
      </c>
      <c r="D27" s="7" t="str">
        <f>IF(A27="","",IFERROR(VLOOKUP(A27,Empleados!A:I,8,FALSE),""))</f>
        <v/>
      </c>
      <c r="E27" s="7"/>
      <c r="F27" s="8"/>
      <c r="G27" s="8"/>
      <c r="H27" s="9" t="str">
        <f t="shared" si="0"/>
        <v/>
      </c>
      <c r="I27" s="7" t="str">
        <f t="shared" ref="I24:I55" si="2">IF(A27="","","PENDIENTE")</f>
        <v/>
      </c>
      <c r="J27" s="7"/>
      <c r="K27" s="7" t="str">
        <f t="shared" si="1"/>
        <v/>
      </c>
    </row>
    <row r="28" spans="1:11" x14ac:dyDescent="0.25">
      <c r="A28" s="7"/>
      <c r="B28" s="7" t="str">
        <f>IF(A28="","",IFERROR(VLOOKUP(A28,Empleados!A:B,2,FALSE),""))</f>
        <v/>
      </c>
      <c r="C28" s="7" t="str">
        <f>IF(A28="","",IFERROR(VLOOKUP(A28,Empleados!A:J,9,FALSE),""))</f>
        <v/>
      </c>
      <c r="D28" s="7" t="str">
        <f>IF(A28="","",IFERROR(VLOOKUP(A28,Empleados!A:I,8,FALSE),""))</f>
        <v/>
      </c>
      <c r="E28" s="7"/>
      <c r="F28" s="8"/>
      <c r="G28" s="8"/>
      <c r="H28" s="9" t="str">
        <f t="shared" si="0"/>
        <v/>
      </c>
      <c r="I28" s="7" t="str">
        <f t="shared" si="2"/>
        <v/>
      </c>
      <c r="J28" s="7"/>
      <c r="K28" s="7" t="str">
        <f t="shared" si="1"/>
        <v/>
      </c>
    </row>
    <row r="29" spans="1:11" x14ac:dyDescent="0.25">
      <c r="A29" s="7"/>
      <c r="B29" s="7" t="str">
        <f>IF(A29="","",IFERROR(VLOOKUP(A29,Empleados!A:B,2,FALSE),""))</f>
        <v/>
      </c>
      <c r="C29" s="7" t="str">
        <f>IF(A29="","",IFERROR(VLOOKUP(A29,Empleados!A:J,9,FALSE),""))</f>
        <v/>
      </c>
      <c r="D29" s="7" t="str">
        <f>IF(A29="","",IFERROR(VLOOKUP(A29,Empleados!A:I,8,FALSE),""))</f>
        <v/>
      </c>
      <c r="E29" s="7"/>
      <c r="F29" s="8"/>
      <c r="G29" s="8"/>
      <c r="H29" s="9" t="str">
        <f t="shared" si="0"/>
        <v/>
      </c>
      <c r="I29" s="7" t="str">
        <f t="shared" si="2"/>
        <v/>
      </c>
      <c r="J29" s="7"/>
      <c r="K29" s="7" t="str">
        <f t="shared" si="1"/>
        <v/>
      </c>
    </row>
    <row r="30" spans="1:11" x14ac:dyDescent="0.25">
      <c r="A30" s="7"/>
      <c r="B30" s="7" t="str">
        <f>IF(A30="","",IFERROR(VLOOKUP(A30,Empleados!A:B,2,FALSE),""))</f>
        <v/>
      </c>
      <c r="C30" s="7" t="str">
        <f>IF(A30="","",IFERROR(VLOOKUP(A30,Empleados!A:J,9,FALSE),""))</f>
        <v/>
      </c>
      <c r="D30" s="7" t="str">
        <f>IF(A30="","",IFERROR(VLOOKUP(A30,Empleados!A:I,8,FALSE),""))</f>
        <v/>
      </c>
      <c r="E30" s="7"/>
      <c r="F30" s="8"/>
      <c r="G30" s="8"/>
      <c r="H30" s="9" t="str">
        <f t="shared" si="0"/>
        <v/>
      </c>
      <c r="I30" s="7" t="str">
        <f t="shared" si="2"/>
        <v/>
      </c>
      <c r="J30" s="7"/>
      <c r="K30" s="7" t="str">
        <f t="shared" si="1"/>
        <v/>
      </c>
    </row>
    <row r="31" spans="1:11" x14ac:dyDescent="0.25">
      <c r="A31" s="7"/>
      <c r="B31" s="7" t="str">
        <f>IF(A31="","",IFERROR(VLOOKUP(A31,Empleados!A:B,2,FALSE),""))</f>
        <v/>
      </c>
      <c r="C31" s="7" t="str">
        <f>IF(A31="","",IFERROR(VLOOKUP(A31,Empleados!A:J,9,FALSE),""))</f>
        <v/>
      </c>
      <c r="D31" s="7" t="str">
        <f>IF(A31="","",IFERROR(VLOOKUP(A31,Empleados!A:I,8,FALSE),""))</f>
        <v/>
      </c>
      <c r="E31" s="7"/>
      <c r="F31" s="8"/>
      <c r="G31" s="8"/>
      <c r="H31" s="9" t="str">
        <f t="shared" si="0"/>
        <v/>
      </c>
      <c r="I31" s="7" t="str">
        <f t="shared" si="2"/>
        <v/>
      </c>
      <c r="J31" s="7"/>
      <c r="K31" s="7" t="str">
        <f t="shared" si="1"/>
        <v/>
      </c>
    </row>
    <row r="32" spans="1:11" x14ac:dyDescent="0.25">
      <c r="A32" s="7"/>
      <c r="B32" s="7" t="str">
        <f>IF(A32="","",IFERROR(VLOOKUP(A32,Empleados!A:B,2,FALSE),""))</f>
        <v/>
      </c>
      <c r="C32" s="7" t="str">
        <f>IF(A32="","",IFERROR(VLOOKUP(A32,Empleados!A:J,9,FALSE),""))</f>
        <v/>
      </c>
      <c r="D32" s="7" t="str">
        <f>IF(A32="","",IFERROR(VLOOKUP(A32,Empleados!A:I,8,FALSE),""))</f>
        <v/>
      </c>
      <c r="E32" s="7"/>
      <c r="F32" s="8"/>
      <c r="G32" s="8"/>
      <c r="H32" s="9" t="str">
        <f t="shared" si="0"/>
        <v/>
      </c>
      <c r="I32" s="7" t="str">
        <f t="shared" si="2"/>
        <v/>
      </c>
      <c r="J32" s="7"/>
      <c r="K32" s="7" t="str">
        <f t="shared" si="1"/>
        <v/>
      </c>
    </row>
    <row r="33" spans="1:11" x14ac:dyDescent="0.25">
      <c r="A33" s="7"/>
      <c r="B33" s="7" t="str">
        <f>IF(A33="","",IFERROR(VLOOKUP(A33,Empleados!A:B,2,FALSE),""))</f>
        <v/>
      </c>
      <c r="C33" s="7" t="str">
        <f>IF(A33="","",IFERROR(VLOOKUP(A33,Empleados!A:J,9,FALSE),""))</f>
        <v/>
      </c>
      <c r="D33" s="7" t="str">
        <f>IF(A33="","",IFERROR(VLOOKUP(A33,Empleados!A:I,8,FALSE),""))</f>
        <v/>
      </c>
      <c r="E33" s="7"/>
      <c r="F33" s="8"/>
      <c r="G33" s="8"/>
      <c r="H33" s="9" t="str">
        <f t="shared" si="0"/>
        <v/>
      </c>
      <c r="I33" s="7" t="str">
        <f t="shared" si="2"/>
        <v/>
      </c>
      <c r="J33" s="7"/>
      <c r="K33" s="7" t="str">
        <f t="shared" si="1"/>
        <v/>
      </c>
    </row>
    <row r="34" spans="1:11" x14ac:dyDescent="0.25">
      <c r="A34" s="7"/>
      <c r="B34" s="7" t="str">
        <f>IF(A34="","",IFERROR(VLOOKUP(A34,Empleados!A:B,2,FALSE),""))</f>
        <v/>
      </c>
      <c r="C34" s="7" t="str">
        <f>IF(A34="","",IFERROR(VLOOKUP(A34,Empleados!A:J,9,FALSE),""))</f>
        <v/>
      </c>
      <c r="D34" s="7" t="str">
        <f>IF(A34="","",IFERROR(VLOOKUP(A34,Empleados!A:I,8,FALSE),""))</f>
        <v/>
      </c>
      <c r="E34" s="7"/>
      <c r="F34" s="8"/>
      <c r="G34" s="8"/>
      <c r="H34" s="9" t="str">
        <f t="shared" ref="H34:H65" si="3">IF(OR(F34="",G34=""),"",G34-F34+1)</f>
        <v/>
      </c>
      <c r="I34" s="7" t="str">
        <f t="shared" si="2"/>
        <v/>
      </c>
      <c r="J34" s="7"/>
      <c r="K34" s="7" t="str">
        <f t="shared" ref="K34:K65" si="4">IF(A34="","",A34&amp;"|"&amp;TEXT(F34,"yyyymmdd")&amp;"|"&amp;TEXT(G34,"yyyymmdd"))</f>
        <v/>
      </c>
    </row>
    <row r="35" spans="1:11" x14ac:dyDescent="0.25">
      <c r="A35" s="7"/>
      <c r="B35" s="7" t="str">
        <f>IF(A35="","",IFERROR(VLOOKUP(A35,Empleados!A:B,2,FALSE),""))</f>
        <v/>
      </c>
      <c r="C35" s="7" t="str">
        <f>IF(A35="","",IFERROR(VLOOKUP(A35,Empleados!A:J,9,FALSE),""))</f>
        <v/>
      </c>
      <c r="D35" s="7" t="str">
        <f>IF(A35="","",IFERROR(VLOOKUP(A35,Empleados!A:I,8,FALSE),""))</f>
        <v/>
      </c>
      <c r="E35" s="7"/>
      <c r="F35" s="8"/>
      <c r="G35" s="8"/>
      <c r="H35" s="9" t="str">
        <f t="shared" si="3"/>
        <v/>
      </c>
      <c r="I35" s="7" t="str">
        <f t="shared" si="2"/>
        <v/>
      </c>
      <c r="J35" s="7"/>
      <c r="K35" s="7" t="str">
        <f t="shared" si="4"/>
        <v/>
      </c>
    </row>
    <row r="36" spans="1:11" x14ac:dyDescent="0.25">
      <c r="A36" s="7"/>
      <c r="B36" s="7" t="str">
        <f>IF(A36="","",IFERROR(VLOOKUP(A36,Empleados!A:B,2,FALSE),""))</f>
        <v/>
      </c>
      <c r="C36" s="7" t="str">
        <f>IF(A36="","",IFERROR(VLOOKUP(A36,Empleados!A:J,9,FALSE),""))</f>
        <v/>
      </c>
      <c r="D36" s="7" t="str">
        <f>IF(A36="","",IFERROR(VLOOKUP(A36,Empleados!A:I,8,FALSE),""))</f>
        <v/>
      </c>
      <c r="E36" s="7"/>
      <c r="F36" s="8"/>
      <c r="G36" s="8"/>
      <c r="H36" s="9" t="str">
        <f t="shared" si="3"/>
        <v/>
      </c>
      <c r="I36" s="7" t="str">
        <f t="shared" si="2"/>
        <v/>
      </c>
      <c r="J36" s="7"/>
      <c r="K36" s="7" t="str">
        <f t="shared" si="4"/>
        <v/>
      </c>
    </row>
    <row r="37" spans="1:11" x14ac:dyDescent="0.25">
      <c r="A37" s="7"/>
      <c r="B37" s="7" t="str">
        <f>IF(A37="","",IFERROR(VLOOKUP(A37,Empleados!A:B,2,FALSE),""))</f>
        <v/>
      </c>
      <c r="C37" s="7" t="str">
        <f>IF(A37="","",IFERROR(VLOOKUP(A37,Empleados!A:J,9,FALSE),""))</f>
        <v/>
      </c>
      <c r="D37" s="7" t="str">
        <f>IF(A37="","",IFERROR(VLOOKUP(A37,Empleados!A:I,8,FALSE),""))</f>
        <v/>
      </c>
      <c r="E37" s="7"/>
      <c r="F37" s="8"/>
      <c r="G37" s="8"/>
      <c r="H37" s="9" t="str">
        <f t="shared" si="3"/>
        <v/>
      </c>
      <c r="I37" s="7" t="str">
        <f t="shared" si="2"/>
        <v/>
      </c>
      <c r="J37" s="7"/>
      <c r="K37" s="7" t="str">
        <f t="shared" si="4"/>
        <v/>
      </c>
    </row>
    <row r="38" spans="1:11" x14ac:dyDescent="0.25">
      <c r="A38" s="7"/>
      <c r="B38" s="7" t="str">
        <f>IF(A38="","",IFERROR(VLOOKUP(A38,Empleados!A:B,2,FALSE),""))</f>
        <v/>
      </c>
      <c r="C38" s="7" t="str">
        <f>IF(A38="","",IFERROR(VLOOKUP(A38,Empleados!A:J,9,FALSE),""))</f>
        <v/>
      </c>
      <c r="D38" s="7" t="str">
        <f>IF(A38="","",IFERROR(VLOOKUP(A38,Empleados!A:I,8,FALSE),""))</f>
        <v/>
      </c>
      <c r="E38" s="7"/>
      <c r="F38" s="8"/>
      <c r="G38" s="8"/>
      <c r="H38" s="9" t="str">
        <f t="shared" si="3"/>
        <v/>
      </c>
      <c r="I38" s="7" t="str">
        <f t="shared" si="2"/>
        <v/>
      </c>
      <c r="J38" s="7"/>
      <c r="K38" s="7" t="str">
        <f t="shared" si="4"/>
        <v/>
      </c>
    </row>
    <row r="39" spans="1:11" x14ac:dyDescent="0.25">
      <c r="A39" s="7"/>
      <c r="B39" s="7" t="str">
        <f>IF(A39="","",IFERROR(VLOOKUP(A39,Empleados!A:B,2,FALSE),""))</f>
        <v/>
      </c>
      <c r="C39" s="7" t="str">
        <f>IF(A39="","",IFERROR(VLOOKUP(A39,Empleados!A:J,9,FALSE),""))</f>
        <v/>
      </c>
      <c r="D39" s="7" t="str">
        <f>IF(A39="","",IFERROR(VLOOKUP(A39,Empleados!A:I,8,FALSE),""))</f>
        <v/>
      </c>
      <c r="E39" s="7"/>
      <c r="F39" s="8"/>
      <c r="G39" s="8"/>
      <c r="H39" s="9" t="str">
        <f t="shared" si="3"/>
        <v/>
      </c>
      <c r="I39" s="7" t="str">
        <f t="shared" si="2"/>
        <v/>
      </c>
      <c r="J39" s="7"/>
      <c r="K39" s="7" t="str">
        <f t="shared" si="4"/>
        <v/>
      </c>
    </row>
    <row r="40" spans="1:11" x14ac:dyDescent="0.25">
      <c r="A40" s="7"/>
      <c r="B40" s="7" t="str">
        <f>IF(A40="","",IFERROR(VLOOKUP(A40,Empleados!A:B,2,FALSE),""))</f>
        <v/>
      </c>
      <c r="C40" s="7" t="str">
        <f>IF(A40="","",IFERROR(VLOOKUP(A40,Empleados!A:J,9,FALSE),""))</f>
        <v/>
      </c>
      <c r="D40" s="7" t="str">
        <f>IF(A40="","",IFERROR(VLOOKUP(A40,Empleados!A:I,8,FALSE),""))</f>
        <v/>
      </c>
      <c r="E40" s="7"/>
      <c r="F40" s="8"/>
      <c r="G40" s="8"/>
      <c r="H40" s="9" t="str">
        <f t="shared" si="3"/>
        <v/>
      </c>
      <c r="I40" s="7" t="str">
        <f t="shared" si="2"/>
        <v/>
      </c>
      <c r="J40" s="7"/>
      <c r="K40" s="7" t="str">
        <f t="shared" si="4"/>
        <v/>
      </c>
    </row>
    <row r="41" spans="1:11" x14ac:dyDescent="0.25">
      <c r="A41" s="7"/>
      <c r="B41" s="7" t="str">
        <f>IF(A41="","",IFERROR(VLOOKUP(A41,Empleados!A:B,2,FALSE),""))</f>
        <v/>
      </c>
      <c r="C41" s="7" t="str">
        <f>IF(A41="","",IFERROR(VLOOKUP(A41,Empleados!A:J,9,FALSE),""))</f>
        <v/>
      </c>
      <c r="D41" s="7" t="str">
        <f>IF(A41="","",IFERROR(VLOOKUP(A41,Empleados!A:I,8,FALSE),""))</f>
        <v/>
      </c>
      <c r="E41" s="7"/>
      <c r="F41" s="8"/>
      <c r="G41" s="8"/>
      <c r="H41" s="9" t="str">
        <f t="shared" si="3"/>
        <v/>
      </c>
      <c r="I41" s="7" t="str">
        <f t="shared" si="2"/>
        <v/>
      </c>
      <c r="J41" s="7"/>
      <c r="K41" s="7" t="str">
        <f t="shared" si="4"/>
        <v/>
      </c>
    </row>
    <row r="42" spans="1:11" x14ac:dyDescent="0.25">
      <c r="A42" s="7"/>
      <c r="B42" s="7" t="str">
        <f>IF(A42="","",IFERROR(VLOOKUP(A42,Empleados!A:B,2,FALSE),""))</f>
        <v/>
      </c>
      <c r="C42" s="7" t="str">
        <f>IF(A42="","",IFERROR(VLOOKUP(A42,Empleados!A:J,9,FALSE),""))</f>
        <v/>
      </c>
      <c r="D42" s="7" t="str">
        <f>IF(A42="","",IFERROR(VLOOKUP(A42,Empleados!A:I,8,FALSE),""))</f>
        <v/>
      </c>
      <c r="E42" s="7"/>
      <c r="F42" s="8"/>
      <c r="G42" s="8"/>
      <c r="H42" s="9" t="str">
        <f t="shared" si="3"/>
        <v/>
      </c>
      <c r="I42" s="7" t="str">
        <f t="shared" si="2"/>
        <v/>
      </c>
      <c r="J42" s="7"/>
      <c r="K42" s="7" t="str">
        <f t="shared" si="4"/>
        <v/>
      </c>
    </row>
    <row r="43" spans="1:11" x14ac:dyDescent="0.25">
      <c r="A43" s="7"/>
      <c r="B43" s="7" t="str">
        <f>IF(A43="","",IFERROR(VLOOKUP(A43,Empleados!A:B,2,FALSE),""))</f>
        <v/>
      </c>
      <c r="C43" s="7" t="str">
        <f>IF(A43="","",IFERROR(VLOOKUP(A43,Empleados!A:J,9,FALSE),""))</f>
        <v/>
      </c>
      <c r="D43" s="7" t="str">
        <f>IF(A43="","",IFERROR(VLOOKUP(A43,Empleados!A:I,8,FALSE),""))</f>
        <v/>
      </c>
      <c r="E43" s="7"/>
      <c r="F43" s="8"/>
      <c r="G43" s="8"/>
      <c r="H43" s="9" t="str">
        <f t="shared" si="3"/>
        <v/>
      </c>
      <c r="I43" s="7" t="str">
        <f t="shared" si="2"/>
        <v/>
      </c>
      <c r="J43" s="7"/>
      <c r="K43" s="7" t="str">
        <f t="shared" si="4"/>
        <v/>
      </c>
    </row>
    <row r="44" spans="1:11" x14ac:dyDescent="0.25">
      <c r="A44" s="7"/>
      <c r="B44" s="7" t="str">
        <f>IF(A44="","",IFERROR(VLOOKUP(A44,Empleados!A:B,2,FALSE),""))</f>
        <v/>
      </c>
      <c r="C44" s="7" t="str">
        <f>IF(A44="","",IFERROR(VLOOKUP(A44,Empleados!A:J,9,FALSE),""))</f>
        <v/>
      </c>
      <c r="D44" s="7" t="str">
        <f>IF(A44="","",IFERROR(VLOOKUP(A44,Empleados!A:I,8,FALSE),""))</f>
        <v/>
      </c>
      <c r="E44" s="7"/>
      <c r="F44" s="8"/>
      <c r="G44" s="8"/>
      <c r="H44" s="9" t="str">
        <f t="shared" si="3"/>
        <v/>
      </c>
      <c r="I44" s="7" t="str">
        <f t="shared" si="2"/>
        <v/>
      </c>
      <c r="J44" s="7"/>
      <c r="K44" s="7" t="str">
        <f t="shared" si="4"/>
        <v/>
      </c>
    </row>
    <row r="45" spans="1:11" x14ac:dyDescent="0.25">
      <c r="A45" s="7"/>
      <c r="B45" s="7" t="str">
        <f>IF(A45="","",IFERROR(VLOOKUP(A45,Empleados!A:B,2,FALSE),""))</f>
        <v/>
      </c>
      <c r="C45" s="7" t="str">
        <f>IF(A45="","",IFERROR(VLOOKUP(A45,Empleados!A:J,9,FALSE),""))</f>
        <v/>
      </c>
      <c r="D45" s="7" t="str">
        <f>IF(A45="","",IFERROR(VLOOKUP(A45,Empleados!A:I,8,FALSE),""))</f>
        <v/>
      </c>
      <c r="E45" s="7"/>
      <c r="F45" s="8"/>
      <c r="G45" s="8"/>
      <c r="H45" s="9" t="str">
        <f t="shared" si="3"/>
        <v/>
      </c>
      <c r="I45" s="7" t="str">
        <f t="shared" si="2"/>
        <v/>
      </c>
      <c r="J45" s="7"/>
      <c r="K45" s="7" t="str">
        <f t="shared" si="4"/>
        <v/>
      </c>
    </row>
    <row r="46" spans="1:11" x14ac:dyDescent="0.25">
      <c r="A46" s="7"/>
      <c r="B46" s="7" t="str">
        <f>IF(A46="","",IFERROR(VLOOKUP(A46,Empleados!A:B,2,FALSE),""))</f>
        <v/>
      </c>
      <c r="C46" s="7" t="str">
        <f>IF(A46="","",IFERROR(VLOOKUP(A46,Empleados!A:J,9,FALSE),""))</f>
        <v/>
      </c>
      <c r="D46" s="7" t="str">
        <f>IF(A46="","",IFERROR(VLOOKUP(A46,Empleados!A:I,8,FALSE),""))</f>
        <v/>
      </c>
      <c r="E46" s="7"/>
      <c r="F46" s="8"/>
      <c r="G46" s="8"/>
      <c r="H46" s="9" t="str">
        <f t="shared" si="3"/>
        <v/>
      </c>
      <c r="I46" s="7" t="str">
        <f t="shared" si="2"/>
        <v/>
      </c>
      <c r="J46" s="7"/>
      <c r="K46" s="7" t="str">
        <f t="shared" si="4"/>
        <v/>
      </c>
    </row>
    <row r="47" spans="1:11" x14ac:dyDescent="0.25">
      <c r="A47" s="7"/>
      <c r="B47" s="7" t="str">
        <f>IF(A47="","",IFERROR(VLOOKUP(A47,Empleados!A:B,2,FALSE),""))</f>
        <v/>
      </c>
      <c r="C47" s="7" t="str">
        <f>IF(A47="","",IFERROR(VLOOKUP(A47,Empleados!A:J,9,FALSE),""))</f>
        <v/>
      </c>
      <c r="D47" s="7" t="str">
        <f>IF(A47="","",IFERROR(VLOOKUP(A47,Empleados!A:I,8,FALSE),""))</f>
        <v/>
      </c>
      <c r="E47" s="7"/>
      <c r="F47" s="8"/>
      <c r="G47" s="8"/>
      <c r="H47" s="9" t="str">
        <f t="shared" si="3"/>
        <v/>
      </c>
      <c r="I47" s="7" t="str">
        <f t="shared" si="2"/>
        <v/>
      </c>
      <c r="J47" s="7"/>
      <c r="K47" s="7" t="str">
        <f t="shared" si="4"/>
        <v/>
      </c>
    </row>
    <row r="48" spans="1:11" x14ac:dyDescent="0.25">
      <c r="A48" s="7"/>
      <c r="B48" s="7" t="str">
        <f>IF(A48="","",IFERROR(VLOOKUP(A48,Empleados!A:B,2,FALSE),""))</f>
        <v/>
      </c>
      <c r="C48" s="7" t="str">
        <f>IF(A48="","",IFERROR(VLOOKUP(A48,Empleados!A:J,9,FALSE),""))</f>
        <v/>
      </c>
      <c r="D48" s="7" t="str">
        <f>IF(A48="","",IFERROR(VLOOKUP(A48,Empleados!A:I,8,FALSE),""))</f>
        <v/>
      </c>
      <c r="E48" s="7"/>
      <c r="F48" s="8"/>
      <c r="G48" s="8"/>
      <c r="H48" s="9" t="str">
        <f t="shared" si="3"/>
        <v/>
      </c>
      <c r="I48" s="7" t="str">
        <f t="shared" si="2"/>
        <v/>
      </c>
      <c r="J48" s="7"/>
      <c r="K48" s="7" t="str">
        <f t="shared" si="4"/>
        <v/>
      </c>
    </row>
    <row r="49" spans="1:11" x14ac:dyDescent="0.25">
      <c r="A49" s="7"/>
      <c r="B49" s="7" t="str">
        <f>IF(A49="","",IFERROR(VLOOKUP(A49,Empleados!A:B,2,FALSE),""))</f>
        <v/>
      </c>
      <c r="C49" s="7" t="str">
        <f>IF(A49="","",IFERROR(VLOOKUP(A49,Empleados!A:J,9,FALSE),""))</f>
        <v/>
      </c>
      <c r="D49" s="7" t="str">
        <f>IF(A49="","",IFERROR(VLOOKUP(A49,Empleados!A:I,8,FALSE),""))</f>
        <v/>
      </c>
      <c r="E49" s="7"/>
      <c r="F49" s="8"/>
      <c r="G49" s="8"/>
      <c r="H49" s="9" t="str">
        <f t="shared" si="3"/>
        <v/>
      </c>
      <c r="I49" s="7" t="str">
        <f t="shared" si="2"/>
        <v/>
      </c>
      <c r="J49" s="7"/>
      <c r="K49" s="7" t="str">
        <f t="shared" si="4"/>
        <v/>
      </c>
    </row>
    <row r="50" spans="1:11" x14ac:dyDescent="0.25">
      <c r="A50" s="7"/>
      <c r="B50" s="7" t="str">
        <f>IF(A50="","",IFERROR(VLOOKUP(A50,Empleados!A:B,2,FALSE),""))</f>
        <v/>
      </c>
      <c r="C50" s="7" t="str">
        <f>IF(A50="","",IFERROR(VLOOKUP(A50,Empleados!A:J,9,FALSE),""))</f>
        <v/>
      </c>
      <c r="D50" s="7" t="str">
        <f>IF(A50="","",IFERROR(VLOOKUP(A50,Empleados!A:I,8,FALSE),""))</f>
        <v/>
      </c>
      <c r="E50" s="7"/>
      <c r="F50" s="8"/>
      <c r="G50" s="8"/>
      <c r="H50" s="9" t="str">
        <f t="shared" si="3"/>
        <v/>
      </c>
      <c r="I50" s="7" t="str">
        <f t="shared" si="2"/>
        <v/>
      </c>
      <c r="J50" s="7"/>
      <c r="K50" s="7" t="str">
        <f t="shared" si="4"/>
        <v/>
      </c>
    </row>
    <row r="51" spans="1:11" x14ac:dyDescent="0.25">
      <c r="A51" s="7"/>
      <c r="B51" s="7" t="str">
        <f>IF(A51="","",IFERROR(VLOOKUP(A51,Empleados!A:B,2,FALSE),""))</f>
        <v/>
      </c>
      <c r="C51" s="7" t="str">
        <f>IF(A51="","",IFERROR(VLOOKUP(A51,Empleados!A:J,9,FALSE),""))</f>
        <v/>
      </c>
      <c r="D51" s="7" t="str">
        <f>IF(A51="","",IFERROR(VLOOKUP(A51,Empleados!A:I,8,FALSE),""))</f>
        <v/>
      </c>
      <c r="E51" s="7"/>
      <c r="F51" s="8"/>
      <c r="G51" s="8"/>
      <c r="H51" s="9" t="str">
        <f t="shared" si="3"/>
        <v/>
      </c>
      <c r="I51" s="7" t="str">
        <f t="shared" si="2"/>
        <v/>
      </c>
      <c r="J51" s="7"/>
      <c r="K51" s="7" t="str">
        <f t="shared" si="4"/>
        <v/>
      </c>
    </row>
    <row r="52" spans="1:11" x14ac:dyDescent="0.25">
      <c r="A52" s="7"/>
      <c r="B52" s="7" t="str">
        <f>IF(A52="","",IFERROR(VLOOKUP(A52,Empleados!A:B,2,FALSE),""))</f>
        <v/>
      </c>
      <c r="C52" s="7" t="str">
        <f>IF(A52="","",IFERROR(VLOOKUP(A52,Empleados!A:J,9,FALSE),""))</f>
        <v/>
      </c>
      <c r="D52" s="7" t="str">
        <f>IF(A52="","",IFERROR(VLOOKUP(A52,Empleados!A:I,8,FALSE),""))</f>
        <v/>
      </c>
      <c r="E52" s="7"/>
      <c r="F52" s="8"/>
      <c r="G52" s="8"/>
      <c r="H52" s="9" t="str">
        <f t="shared" si="3"/>
        <v/>
      </c>
      <c r="I52" s="7" t="str">
        <f t="shared" si="2"/>
        <v/>
      </c>
      <c r="J52" s="7"/>
      <c r="K52" s="7" t="str">
        <f t="shared" si="4"/>
        <v/>
      </c>
    </row>
    <row r="53" spans="1:11" x14ac:dyDescent="0.25">
      <c r="A53" s="7"/>
      <c r="B53" s="7" t="str">
        <f>IF(A53="","",IFERROR(VLOOKUP(A53,Empleados!A:B,2,FALSE),""))</f>
        <v/>
      </c>
      <c r="C53" s="7" t="str">
        <f>IF(A53="","",IFERROR(VLOOKUP(A53,Empleados!A:J,9,FALSE),""))</f>
        <v/>
      </c>
      <c r="D53" s="7" t="str">
        <f>IF(A53="","",IFERROR(VLOOKUP(A53,Empleados!A:I,8,FALSE),""))</f>
        <v/>
      </c>
      <c r="E53" s="7"/>
      <c r="F53" s="8"/>
      <c r="G53" s="8"/>
      <c r="H53" s="9" t="str">
        <f t="shared" si="3"/>
        <v/>
      </c>
      <c r="I53" s="7" t="str">
        <f t="shared" si="2"/>
        <v/>
      </c>
      <c r="J53" s="7"/>
      <c r="K53" s="7" t="str">
        <f t="shared" si="4"/>
        <v/>
      </c>
    </row>
    <row r="54" spans="1:11" x14ac:dyDescent="0.25">
      <c r="A54" s="7"/>
      <c r="B54" s="7" t="str">
        <f>IF(A54="","",IFERROR(VLOOKUP(A54,Empleados!A:B,2,FALSE),""))</f>
        <v/>
      </c>
      <c r="C54" s="7" t="str">
        <f>IF(A54="","",IFERROR(VLOOKUP(A54,Empleados!A:J,9,FALSE),""))</f>
        <v/>
      </c>
      <c r="D54" s="7" t="str">
        <f>IF(A54="","",IFERROR(VLOOKUP(A54,Empleados!A:I,8,FALSE),""))</f>
        <v/>
      </c>
      <c r="E54" s="7"/>
      <c r="F54" s="8"/>
      <c r="G54" s="8"/>
      <c r="H54" s="9" t="str">
        <f t="shared" si="3"/>
        <v/>
      </c>
      <c r="I54" s="7" t="str">
        <f t="shared" si="2"/>
        <v/>
      </c>
      <c r="J54" s="7"/>
      <c r="K54" s="7" t="str">
        <f t="shared" si="4"/>
        <v/>
      </c>
    </row>
    <row r="55" spans="1:11" x14ac:dyDescent="0.25">
      <c r="A55" s="7"/>
      <c r="B55" s="7" t="str">
        <f>IF(A55="","",IFERROR(VLOOKUP(A55,Empleados!A:B,2,FALSE),""))</f>
        <v/>
      </c>
      <c r="C55" s="7" t="str">
        <f>IF(A55="","",IFERROR(VLOOKUP(A55,Empleados!A:J,9,FALSE),""))</f>
        <v/>
      </c>
      <c r="D55" s="7" t="str">
        <f>IF(A55="","",IFERROR(VLOOKUP(A55,Empleados!A:I,8,FALSE),""))</f>
        <v/>
      </c>
      <c r="E55" s="7"/>
      <c r="F55" s="8"/>
      <c r="G55" s="8"/>
      <c r="H55" s="9" t="str">
        <f t="shared" si="3"/>
        <v/>
      </c>
      <c r="I55" s="7" t="str">
        <f t="shared" si="2"/>
        <v/>
      </c>
      <c r="J55" s="7"/>
      <c r="K55" s="7" t="str">
        <f t="shared" si="4"/>
        <v/>
      </c>
    </row>
    <row r="56" spans="1:11" x14ac:dyDescent="0.25">
      <c r="A56" s="7"/>
      <c r="B56" s="7" t="str">
        <f>IF(A56="","",IFERROR(VLOOKUP(A56,Empleados!A:B,2,FALSE),""))</f>
        <v/>
      </c>
      <c r="C56" s="7" t="str">
        <f>IF(A56="","",IFERROR(VLOOKUP(A56,Empleados!A:J,9,FALSE),""))</f>
        <v/>
      </c>
      <c r="D56" s="7" t="str">
        <f>IF(A56="","",IFERROR(VLOOKUP(A56,Empleados!A:I,8,FALSE),""))</f>
        <v/>
      </c>
      <c r="E56" s="7"/>
      <c r="F56" s="8"/>
      <c r="G56" s="8"/>
      <c r="H56" s="9" t="str">
        <f t="shared" si="3"/>
        <v/>
      </c>
      <c r="I56" s="7" t="str">
        <f t="shared" ref="I56:I87" si="5">IF(A56="","","PENDIENTE")</f>
        <v/>
      </c>
      <c r="J56" s="7"/>
      <c r="K56" s="7" t="str">
        <f t="shared" si="4"/>
        <v/>
      </c>
    </row>
    <row r="57" spans="1:11" x14ac:dyDescent="0.25">
      <c r="A57" s="7"/>
      <c r="B57" s="7" t="str">
        <f>IF(A57="","",IFERROR(VLOOKUP(A57,Empleados!A:B,2,FALSE),""))</f>
        <v/>
      </c>
      <c r="C57" s="7" t="str">
        <f>IF(A57="","",IFERROR(VLOOKUP(A57,Empleados!A:J,9,FALSE),""))</f>
        <v/>
      </c>
      <c r="D57" s="7" t="str">
        <f>IF(A57="","",IFERROR(VLOOKUP(A57,Empleados!A:I,8,FALSE),""))</f>
        <v/>
      </c>
      <c r="E57" s="7"/>
      <c r="F57" s="8"/>
      <c r="G57" s="8"/>
      <c r="H57" s="9" t="str">
        <f t="shared" si="3"/>
        <v/>
      </c>
      <c r="I57" s="7" t="str">
        <f t="shared" si="5"/>
        <v/>
      </c>
      <c r="J57" s="7"/>
      <c r="K57" s="7" t="str">
        <f t="shared" si="4"/>
        <v/>
      </c>
    </row>
    <row r="58" spans="1:11" x14ac:dyDescent="0.25">
      <c r="A58" s="7"/>
      <c r="B58" s="7" t="str">
        <f>IF(A58="","",IFERROR(VLOOKUP(A58,Empleados!A:B,2,FALSE),""))</f>
        <v/>
      </c>
      <c r="C58" s="7" t="str">
        <f>IF(A58="","",IFERROR(VLOOKUP(A58,Empleados!A:J,9,FALSE),""))</f>
        <v/>
      </c>
      <c r="D58" s="7" t="str">
        <f>IF(A58="","",IFERROR(VLOOKUP(A58,Empleados!A:I,8,FALSE),""))</f>
        <v/>
      </c>
      <c r="E58" s="7"/>
      <c r="F58" s="8"/>
      <c r="G58" s="8"/>
      <c r="H58" s="9" t="str">
        <f t="shared" si="3"/>
        <v/>
      </c>
      <c r="I58" s="7" t="str">
        <f t="shared" si="5"/>
        <v/>
      </c>
      <c r="J58" s="7"/>
      <c r="K58" s="7" t="str">
        <f t="shared" si="4"/>
        <v/>
      </c>
    </row>
    <row r="59" spans="1:11" x14ac:dyDescent="0.25">
      <c r="A59" s="7"/>
      <c r="B59" s="7" t="str">
        <f>IF(A59="","",IFERROR(VLOOKUP(A59,Empleados!A:B,2,FALSE),""))</f>
        <v/>
      </c>
      <c r="C59" s="7" t="str">
        <f>IF(A59="","",IFERROR(VLOOKUP(A59,Empleados!A:J,9,FALSE),""))</f>
        <v/>
      </c>
      <c r="D59" s="7" t="str">
        <f>IF(A59="","",IFERROR(VLOOKUP(A59,Empleados!A:I,8,FALSE),""))</f>
        <v/>
      </c>
      <c r="E59" s="7"/>
      <c r="F59" s="8"/>
      <c r="G59" s="8"/>
      <c r="H59" s="9" t="str">
        <f t="shared" si="3"/>
        <v/>
      </c>
      <c r="I59" s="7" t="str">
        <f t="shared" si="5"/>
        <v/>
      </c>
      <c r="J59" s="7"/>
      <c r="K59" s="7" t="str">
        <f t="shared" si="4"/>
        <v/>
      </c>
    </row>
    <row r="60" spans="1:11" x14ac:dyDescent="0.25">
      <c r="A60" s="7"/>
      <c r="B60" s="7" t="str">
        <f>IF(A60="","",IFERROR(VLOOKUP(A60,Empleados!A:B,2,FALSE),""))</f>
        <v/>
      </c>
      <c r="C60" s="7" t="str">
        <f>IF(A60="","",IFERROR(VLOOKUP(A60,Empleados!A:J,9,FALSE),""))</f>
        <v/>
      </c>
      <c r="D60" s="7" t="str">
        <f>IF(A60="","",IFERROR(VLOOKUP(A60,Empleados!A:I,8,FALSE),""))</f>
        <v/>
      </c>
      <c r="E60" s="7"/>
      <c r="F60" s="8"/>
      <c r="G60" s="8"/>
      <c r="H60" s="9" t="str">
        <f t="shared" si="3"/>
        <v/>
      </c>
      <c r="I60" s="7" t="str">
        <f t="shared" si="5"/>
        <v/>
      </c>
      <c r="J60" s="7"/>
      <c r="K60" s="7" t="str">
        <f t="shared" si="4"/>
        <v/>
      </c>
    </row>
    <row r="61" spans="1:11" x14ac:dyDescent="0.25">
      <c r="A61" s="7"/>
      <c r="B61" s="7" t="str">
        <f>IF(A61="","",IFERROR(VLOOKUP(A61,Empleados!A:B,2,FALSE),""))</f>
        <v/>
      </c>
      <c r="C61" s="7" t="str">
        <f>IF(A61="","",IFERROR(VLOOKUP(A61,Empleados!A:J,9,FALSE),""))</f>
        <v/>
      </c>
      <c r="D61" s="7" t="str">
        <f>IF(A61="","",IFERROR(VLOOKUP(A61,Empleados!A:I,8,FALSE),""))</f>
        <v/>
      </c>
      <c r="E61" s="7"/>
      <c r="F61" s="8"/>
      <c r="G61" s="8"/>
      <c r="H61" s="9" t="str">
        <f t="shared" si="3"/>
        <v/>
      </c>
      <c r="I61" s="7" t="str">
        <f t="shared" si="5"/>
        <v/>
      </c>
      <c r="J61" s="7"/>
      <c r="K61" s="7" t="str">
        <f t="shared" si="4"/>
        <v/>
      </c>
    </row>
    <row r="62" spans="1:11" x14ac:dyDescent="0.25">
      <c r="A62" s="7"/>
      <c r="B62" s="7" t="str">
        <f>IF(A62="","",IFERROR(VLOOKUP(A62,Empleados!A:B,2,FALSE),""))</f>
        <v/>
      </c>
      <c r="C62" s="7" t="str">
        <f>IF(A62="","",IFERROR(VLOOKUP(A62,Empleados!A:J,9,FALSE),""))</f>
        <v/>
      </c>
      <c r="D62" s="7" t="str">
        <f>IF(A62="","",IFERROR(VLOOKUP(A62,Empleados!A:I,8,FALSE),""))</f>
        <v/>
      </c>
      <c r="E62" s="7"/>
      <c r="F62" s="8"/>
      <c r="G62" s="8"/>
      <c r="H62" s="9" t="str">
        <f t="shared" si="3"/>
        <v/>
      </c>
      <c r="I62" s="7" t="str">
        <f t="shared" si="5"/>
        <v/>
      </c>
      <c r="J62" s="7"/>
      <c r="K62" s="7" t="str">
        <f t="shared" si="4"/>
        <v/>
      </c>
    </row>
    <row r="63" spans="1:11" x14ac:dyDescent="0.25">
      <c r="A63" s="7"/>
      <c r="B63" s="7" t="str">
        <f>IF(A63="","",IFERROR(VLOOKUP(A63,Empleados!A:B,2,FALSE),""))</f>
        <v/>
      </c>
      <c r="C63" s="7" t="str">
        <f>IF(A63="","",IFERROR(VLOOKUP(A63,Empleados!A:J,9,FALSE),""))</f>
        <v/>
      </c>
      <c r="D63" s="7" t="str">
        <f>IF(A63="","",IFERROR(VLOOKUP(A63,Empleados!A:I,8,FALSE),""))</f>
        <v/>
      </c>
      <c r="E63" s="7"/>
      <c r="F63" s="8"/>
      <c r="G63" s="8"/>
      <c r="H63" s="9" t="str">
        <f t="shared" si="3"/>
        <v/>
      </c>
      <c r="I63" s="7" t="str">
        <f t="shared" si="5"/>
        <v/>
      </c>
      <c r="J63" s="7"/>
      <c r="K63" s="7" t="str">
        <f t="shared" si="4"/>
        <v/>
      </c>
    </row>
    <row r="64" spans="1:11" x14ac:dyDescent="0.25">
      <c r="A64" s="7"/>
      <c r="B64" s="7" t="str">
        <f>IF(A64="","",IFERROR(VLOOKUP(A64,Empleados!A:B,2,FALSE),""))</f>
        <v/>
      </c>
      <c r="C64" s="7" t="str">
        <f>IF(A64="","",IFERROR(VLOOKUP(A64,Empleados!A:J,9,FALSE),""))</f>
        <v/>
      </c>
      <c r="D64" s="7" t="str">
        <f>IF(A64="","",IFERROR(VLOOKUP(A64,Empleados!A:I,8,FALSE),""))</f>
        <v/>
      </c>
      <c r="E64" s="7"/>
      <c r="F64" s="8"/>
      <c r="G64" s="8"/>
      <c r="H64" s="9" t="str">
        <f t="shared" si="3"/>
        <v/>
      </c>
      <c r="I64" s="7" t="str">
        <f t="shared" si="5"/>
        <v/>
      </c>
      <c r="J64" s="7"/>
      <c r="K64" s="7" t="str">
        <f t="shared" si="4"/>
        <v/>
      </c>
    </row>
    <row r="65" spans="1:11" x14ac:dyDescent="0.25">
      <c r="A65" s="7"/>
      <c r="B65" s="7" t="str">
        <f>IF(A65="","",IFERROR(VLOOKUP(A65,Empleados!A:B,2,FALSE),""))</f>
        <v/>
      </c>
      <c r="C65" s="7" t="str">
        <f>IF(A65="","",IFERROR(VLOOKUP(A65,Empleados!A:J,9,FALSE),""))</f>
        <v/>
      </c>
      <c r="D65" s="7" t="str">
        <f>IF(A65="","",IFERROR(VLOOKUP(A65,Empleados!A:I,8,FALSE),""))</f>
        <v/>
      </c>
      <c r="E65" s="7"/>
      <c r="F65" s="8"/>
      <c r="G65" s="8"/>
      <c r="H65" s="9" t="str">
        <f t="shared" si="3"/>
        <v/>
      </c>
      <c r="I65" s="7" t="str">
        <f t="shared" si="5"/>
        <v/>
      </c>
      <c r="J65" s="7"/>
      <c r="K65" s="7" t="str">
        <f t="shared" si="4"/>
        <v/>
      </c>
    </row>
    <row r="66" spans="1:11" x14ac:dyDescent="0.25">
      <c r="A66" s="7"/>
      <c r="B66" s="7" t="str">
        <f>IF(A66="","",IFERROR(VLOOKUP(A66,Empleados!A:B,2,FALSE),""))</f>
        <v/>
      </c>
      <c r="C66" s="7" t="str">
        <f>IF(A66="","",IFERROR(VLOOKUP(A66,Empleados!A:J,9,FALSE),""))</f>
        <v/>
      </c>
      <c r="D66" s="7" t="str">
        <f>IF(A66="","",IFERROR(VLOOKUP(A66,Empleados!A:I,8,FALSE),""))</f>
        <v/>
      </c>
      <c r="E66" s="7"/>
      <c r="F66" s="8"/>
      <c r="G66" s="8"/>
      <c r="H66" s="9" t="str">
        <f t="shared" ref="H66:H97" si="6">IF(OR(F66="",G66=""),"",G66-F66+1)</f>
        <v/>
      </c>
      <c r="I66" s="7" t="str">
        <f t="shared" si="5"/>
        <v/>
      </c>
      <c r="J66" s="7"/>
      <c r="K66" s="7" t="str">
        <f t="shared" ref="K66:K97" si="7">IF(A66="","",A66&amp;"|"&amp;TEXT(F66,"yyyymmdd")&amp;"|"&amp;TEXT(G66,"yyyymmdd"))</f>
        <v/>
      </c>
    </row>
    <row r="67" spans="1:11" x14ac:dyDescent="0.25">
      <c r="A67" s="7"/>
      <c r="B67" s="7" t="str">
        <f>IF(A67="","",IFERROR(VLOOKUP(A67,Empleados!A:B,2,FALSE),""))</f>
        <v/>
      </c>
      <c r="C67" s="7" t="str">
        <f>IF(A67="","",IFERROR(VLOOKUP(A67,Empleados!A:J,9,FALSE),""))</f>
        <v/>
      </c>
      <c r="D67" s="7" t="str">
        <f>IF(A67="","",IFERROR(VLOOKUP(A67,Empleados!A:I,8,FALSE),""))</f>
        <v/>
      </c>
      <c r="E67" s="7"/>
      <c r="F67" s="8"/>
      <c r="G67" s="8"/>
      <c r="H67" s="9" t="str">
        <f t="shared" si="6"/>
        <v/>
      </c>
      <c r="I67" s="7" t="str">
        <f t="shared" si="5"/>
        <v/>
      </c>
      <c r="J67" s="7"/>
      <c r="K67" s="7" t="str">
        <f t="shared" si="7"/>
        <v/>
      </c>
    </row>
    <row r="68" spans="1:11" x14ac:dyDescent="0.25">
      <c r="A68" s="7"/>
      <c r="B68" s="7" t="str">
        <f>IF(A68="","",IFERROR(VLOOKUP(A68,Empleados!A:B,2,FALSE),""))</f>
        <v/>
      </c>
      <c r="C68" s="7" t="str">
        <f>IF(A68="","",IFERROR(VLOOKUP(A68,Empleados!A:J,9,FALSE),""))</f>
        <v/>
      </c>
      <c r="D68" s="7" t="str">
        <f>IF(A68="","",IFERROR(VLOOKUP(A68,Empleados!A:I,8,FALSE),""))</f>
        <v/>
      </c>
      <c r="E68" s="7"/>
      <c r="F68" s="8"/>
      <c r="G68" s="8"/>
      <c r="H68" s="9" t="str">
        <f t="shared" si="6"/>
        <v/>
      </c>
      <c r="I68" s="7" t="str">
        <f t="shared" si="5"/>
        <v/>
      </c>
      <c r="J68" s="7"/>
      <c r="K68" s="7" t="str">
        <f t="shared" si="7"/>
        <v/>
      </c>
    </row>
    <row r="69" spans="1:11" x14ac:dyDescent="0.25">
      <c r="A69" s="7"/>
      <c r="B69" s="7" t="str">
        <f>IF(A69="","",IFERROR(VLOOKUP(A69,Empleados!A:B,2,FALSE),""))</f>
        <v/>
      </c>
      <c r="C69" s="7" t="str">
        <f>IF(A69="","",IFERROR(VLOOKUP(A69,Empleados!A:J,9,FALSE),""))</f>
        <v/>
      </c>
      <c r="D69" s="7" t="str">
        <f>IF(A69="","",IFERROR(VLOOKUP(A69,Empleados!A:I,8,FALSE),""))</f>
        <v/>
      </c>
      <c r="E69" s="7"/>
      <c r="F69" s="8"/>
      <c r="G69" s="8"/>
      <c r="H69" s="9" t="str">
        <f t="shared" si="6"/>
        <v/>
      </c>
      <c r="I69" s="7" t="str">
        <f t="shared" si="5"/>
        <v/>
      </c>
      <c r="J69" s="7"/>
      <c r="K69" s="7" t="str">
        <f t="shared" si="7"/>
        <v/>
      </c>
    </row>
    <row r="70" spans="1:11" x14ac:dyDescent="0.25">
      <c r="A70" s="7"/>
      <c r="B70" s="7" t="str">
        <f>IF(A70="","",IFERROR(VLOOKUP(A70,Empleados!A:B,2,FALSE),""))</f>
        <v/>
      </c>
      <c r="C70" s="7" t="str">
        <f>IF(A70="","",IFERROR(VLOOKUP(A70,Empleados!A:J,9,FALSE),""))</f>
        <v/>
      </c>
      <c r="D70" s="7" t="str">
        <f>IF(A70="","",IFERROR(VLOOKUP(A70,Empleados!A:I,8,FALSE),""))</f>
        <v/>
      </c>
      <c r="E70" s="7"/>
      <c r="F70" s="8"/>
      <c r="G70" s="8"/>
      <c r="H70" s="9" t="str">
        <f t="shared" si="6"/>
        <v/>
      </c>
      <c r="I70" s="7" t="str">
        <f t="shared" si="5"/>
        <v/>
      </c>
      <c r="J70" s="7"/>
      <c r="K70" s="7" t="str">
        <f t="shared" si="7"/>
        <v/>
      </c>
    </row>
    <row r="71" spans="1:11" x14ac:dyDescent="0.25">
      <c r="A71" s="7"/>
      <c r="B71" s="7" t="str">
        <f>IF(A71="","",IFERROR(VLOOKUP(A71,Empleados!A:B,2,FALSE),""))</f>
        <v/>
      </c>
      <c r="C71" s="7" t="str">
        <f>IF(A71="","",IFERROR(VLOOKUP(A71,Empleados!A:J,9,FALSE),""))</f>
        <v/>
      </c>
      <c r="D71" s="7" t="str">
        <f>IF(A71="","",IFERROR(VLOOKUP(A71,Empleados!A:I,8,FALSE),""))</f>
        <v/>
      </c>
      <c r="E71" s="7"/>
      <c r="F71" s="8"/>
      <c r="G71" s="8"/>
      <c r="H71" s="9" t="str">
        <f t="shared" si="6"/>
        <v/>
      </c>
      <c r="I71" s="7" t="str">
        <f t="shared" si="5"/>
        <v/>
      </c>
      <c r="J71" s="7"/>
      <c r="K71" s="7" t="str">
        <f t="shared" si="7"/>
        <v/>
      </c>
    </row>
    <row r="72" spans="1:11" x14ac:dyDescent="0.25">
      <c r="A72" s="7"/>
      <c r="B72" s="7" t="str">
        <f>IF(A72="","",IFERROR(VLOOKUP(A72,Empleados!A:B,2,FALSE),""))</f>
        <v/>
      </c>
      <c r="C72" s="7" t="str">
        <f>IF(A72="","",IFERROR(VLOOKUP(A72,Empleados!A:J,9,FALSE),""))</f>
        <v/>
      </c>
      <c r="D72" s="7" t="str">
        <f>IF(A72="","",IFERROR(VLOOKUP(A72,Empleados!A:I,8,FALSE),""))</f>
        <v/>
      </c>
      <c r="E72" s="7"/>
      <c r="F72" s="8"/>
      <c r="G72" s="8"/>
      <c r="H72" s="9" t="str">
        <f t="shared" si="6"/>
        <v/>
      </c>
      <c r="I72" s="7" t="str">
        <f t="shared" si="5"/>
        <v/>
      </c>
      <c r="J72" s="7"/>
      <c r="K72" s="7" t="str">
        <f t="shared" si="7"/>
        <v/>
      </c>
    </row>
    <row r="73" spans="1:11" x14ac:dyDescent="0.25">
      <c r="A73" s="7"/>
      <c r="B73" s="7" t="str">
        <f>IF(A73="","",IFERROR(VLOOKUP(A73,Empleados!A:B,2,FALSE),""))</f>
        <v/>
      </c>
      <c r="C73" s="7" t="str">
        <f>IF(A73="","",IFERROR(VLOOKUP(A73,Empleados!A:J,9,FALSE),""))</f>
        <v/>
      </c>
      <c r="D73" s="7" t="str">
        <f>IF(A73="","",IFERROR(VLOOKUP(A73,Empleados!A:I,8,FALSE),""))</f>
        <v/>
      </c>
      <c r="E73" s="7"/>
      <c r="F73" s="8"/>
      <c r="G73" s="8"/>
      <c r="H73" s="9" t="str">
        <f t="shared" si="6"/>
        <v/>
      </c>
      <c r="I73" s="7" t="str">
        <f t="shared" si="5"/>
        <v/>
      </c>
      <c r="J73" s="7"/>
      <c r="K73" s="7" t="str">
        <f t="shared" si="7"/>
        <v/>
      </c>
    </row>
    <row r="74" spans="1:11" x14ac:dyDescent="0.25">
      <c r="A74" s="7"/>
      <c r="B74" s="7" t="str">
        <f>IF(A74="","",IFERROR(VLOOKUP(A74,Empleados!A:B,2,FALSE),""))</f>
        <v/>
      </c>
      <c r="C74" s="7" t="str">
        <f>IF(A74="","",IFERROR(VLOOKUP(A74,Empleados!A:J,9,FALSE),""))</f>
        <v/>
      </c>
      <c r="D74" s="7" t="str">
        <f>IF(A74="","",IFERROR(VLOOKUP(A74,Empleados!A:I,8,FALSE),""))</f>
        <v/>
      </c>
      <c r="E74" s="7"/>
      <c r="F74" s="8"/>
      <c r="G74" s="8"/>
      <c r="H74" s="9" t="str">
        <f t="shared" si="6"/>
        <v/>
      </c>
      <c r="I74" s="7" t="str">
        <f t="shared" si="5"/>
        <v/>
      </c>
      <c r="J74" s="7"/>
      <c r="K74" s="7" t="str">
        <f t="shared" si="7"/>
        <v/>
      </c>
    </row>
    <row r="75" spans="1:11" x14ac:dyDescent="0.25">
      <c r="A75" s="7"/>
      <c r="B75" s="7" t="str">
        <f>IF(A75="","",IFERROR(VLOOKUP(A75,Empleados!A:B,2,FALSE),""))</f>
        <v/>
      </c>
      <c r="C75" s="7" t="str">
        <f>IF(A75="","",IFERROR(VLOOKUP(A75,Empleados!A:J,9,FALSE),""))</f>
        <v/>
      </c>
      <c r="D75" s="7" t="str">
        <f>IF(A75="","",IFERROR(VLOOKUP(A75,Empleados!A:I,8,FALSE),""))</f>
        <v/>
      </c>
      <c r="E75" s="7"/>
      <c r="F75" s="8"/>
      <c r="G75" s="8"/>
      <c r="H75" s="9" t="str">
        <f t="shared" si="6"/>
        <v/>
      </c>
      <c r="I75" s="7" t="str">
        <f t="shared" si="5"/>
        <v/>
      </c>
      <c r="J75" s="7"/>
      <c r="K75" s="7" t="str">
        <f t="shared" si="7"/>
        <v/>
      </c>
    </row>
    <row r="76" spans="1:11" x14ac:dyDescent="0.25">
      <c r="A76" s="7"/>
      <c r="B76" s="7" t="str">
        <f>IF(A76="","",IFERROR(VLOOKUP(A76,Empleados!A:B,2,FALSE),""))</f>
        <v/>
      </c>
      <c r="C76" s="7" t="str">
        <f>IF(A76="","",IFERROR(VLOOKUP(A76,Empleados!A:J,9,FALSE),""))</f>
        <v/>
      </c>
      <c r="D76" s="7" t="str">
        <f>IF(A76="","",IFERROR(VLOOKUP(A76,Empleados!A:I,8,FALSE),""))</f>
        <v/>
      </c>
      <c r="E76" s="7"/>
      <c r="F76" s="8"/>
      <c r="G76" s="8"/>
      <c r="H76" s="9" t="str">
        <f t="shared" si="6"/>
        <v/>
      </c>
      <c r="I76" s="7" t="str">
        <f t="shared" si="5"/>
        <v/>
      </c>
      <c r="J76" s="7"/>
      <c r="K76" s="7" t="str">
        <f t="shared" si="7"/>
        <v/>
      </c>
    </row>
    <row r="77" spans="1:11" x14ac:dyDescent="0.25">
      <c r="A77" s="7"/>
      <c r="B77" s="7" t="str">
        <f>IF(A77="","",IFERROR(VLOOKUP(A77,Empleados!A:B,2,FALSE),""))</f>
        <v/>
      </c>
      <c r="C77" s="7" t="str">
        <f>IF(A77="","",IFERROR(VLOOKUP(A77,Empleados!A:J,9,FALSE),""))</f>
        <v/>
      </c>
      <c r="D77" s="7" t="str">
        <f>IF(A77="","",IFERROR(VLOOKUP(A77,Empleados!A:I,8,FALSE),""))</f>
        <v/>
      </c>
      <c r="E77" s="7"/>
      <c r="F77" s="8"/>
      <c r="G77" s="8"/>
      <c r="H77" s="9" t="str">
        <f t="shared" si="6"/>
        <v/>
      </c>
      <c r="I77" s="7" t="str">
        <f t="shared" si="5"/>
        <v/>
      </c>
      <c r="J77" s="7"/>
      <c r="K77" s="7" t="str">
        <f t="shared" si="7"/>
        <v/>
      </c>
    </row>
    <row r="78" spans="1:11" x14ac:dyDescent="0.25">
      <c r="A78" s="7"/>
      <c r="B78" s="7" t="str">
        <f>IF(A78="","",IFERROR(VLOOKUP(A78,Empleados!A:B,2,FALSE),""))</f>
        <v/>
      </c>
      <c r="C78" s="7" t="str">
        <f>IF(A78="","",IFERROR(VLOOKUP(A78,Empleados!A:J,9,FALSE),""))</f>
        <v/>
      </c>
      <c r="D78" s="7" t="str">
        <f>IF(A78="","",IFERROR(VLOOKUP(A78,Empleados!A:I,8,FALSE),""))</f>
        <v/>
      </c>
      <c r="E78" s="7"/>
      <c r="F78" s="8"/>
      <c r="G78" s="8"/>
      <c r="H78" s="9" t="str">
        <f t="shared" si="6"/>
        <v/>
      </c>
      <c r="I78" s="7" t="str">
        <f t="shared" si="5"/>
        <v/>
      </c>
      <c r="J78" s="7"/>
      <c r="K78" s="7" t="str">
        <f t="shared" si="7"/>
        <v/>
      </c>
    </row>
    <row r="79" spans="1:11" x14ac:dyDescent="0.25">
      <c r="A79" s="7"/>
      <c r="B79" s="7" t="str">
        <f>IF(A79="","",IFERROR(VLOOKUP(A79,Empleados!A:B,2,FALSE),""))</f>
        <v/>
      </c>
      <c r="C79" s="7" t="str">
        <f>IF(A79="","",IFERROR(VLOOKUP(A79,Empleados!A:J,9,FALSE),""))</f>
        <v/>
      </c>
      <c r="D79" s="7" t="str">
        <f>IF(A79="","",IFERROR(VLOOKUP(A79,Empleados!A:I,8,FALSE),""))</f>
        <v/>
      </c>
      <c r="E79" s="7"/>
      <c r="F79" s="8"/>
      <c r="G79" s="8"/>
      <c r="H79" s="9" t="str">
        <f t="shared" si="6"/>
        <v/>
      </c>
      <c r="I79" s="7" t="str">
        <f t="shared" si="5"/>
        <v/>
      </c>
      <c r="J79" s="7"/>
      <c r="K79" s="7" t="str">
        <f t="shared" si="7"/>
        <v/>
      </c>
    </row>
    <row r="80" spans="1:11" x14ac:dyDescent="0.25">
      <c r="A80" s="7"/>
      <c r="B80" s="7" t="str">
        <f>IF(A80="","",IFERROR(VLOOKUP(A80,Empleados!A:B,2,FALSE),""))</f>
        <v/>
      </c>
      <c r="C80" s="7" t="str">
        <f>IF(A80="","",IFERROR(VLOOKUP(A80,Empleados!A:J,9,FALSE),""))</f>
        <v/>
      </c>
      <c r="D80" s="7" t="str">
        <f>IF(A80="","",IFERROR(VLOOKUP(A80,Empleados!A:I,8,FALSE),""))</f>
        <v/>
      </c>
      <c r="E80" s="7"/>
      <c r="F80" s="8"/>
      <c r="G80" s="8"/>
      <c r="H80" s="9" t="str">
        <f t="shared" si="6"/>
        <v/>
      </c>
      <c r="I80" s="7" t="str">
        <f t="shared" si="5"/>
        <v/>
      </c>
      <c r="J80" s="7"/>
      <c r="K80" s="7" t="str">
        <f t="shared" si="7"/>
        <v/>
      </c>
    </row>
    <row r="81" spans="1:11" x14ac:dyDescent="0.25">
      <c r="A81" s="7"/>
      <c r="B81" s="7" t="str">
        <f>IF(A81="","",IFERROR(VLOOKUP(A81,Empleados!A:B,2,FALSE),""))</f>
        <v/>
      </c>
      <c r="C81" s="7" t="str">
        <f>IF(A81="","",IFERROR(VLOOKUP(A81,Empleados!A:J,9,FALSE),""))</f>
        <v/>
      </c>
      <c r="D81" s="7" t="str">
        <f>IF(A81="","",IFERROR(VLOOKUP(A81,Empleados!A:I,8,FALSE),""))</f>
        <v/>
      </c>
      <c r="E81" s="7"/>
      <c r="F81" s="8"/>
      <c r="G81" s="8"/>
      <c r="H81" s="9" t="str">
        <f t="shared" si="6"/>
        <v/>
      </c>
      <c r="I81" s="7" t="str">
        <f t="shared" si="5"/>
        <v/>
      </c>
      <c r="J81" s="7"/>
      <c r="K81" s="7" t="str">
        <f t="shared" si="7"/>
        <v/>
      </c>
    </row>
    <row r="82" spans="1:11" x14ac:dyDescent="0.25">
      <c r="A82" s="7"/>
      <c r="B82" s="7" t="str">
        <f>IF(A82="","",IFERROR(VLOOKUP(A82,Empleados!A:B,2,FALSE),""))</f>
        <v/>
      </c>
      <c r="C82" s="7" t="str">
        <f>IF(A82="","",IFERROR(VLOOKUP(A82,Empleados!A:J,9,FALSE),""))</f>
        <v/>
      </c>
      <c r="D82" s="7" t="str">
        <f>IF(A82="","",IFERROR(VLOOKUP(A82,Empleados!A:I,8,FALSE),""))</f>
        <v/>
      </c>
      <c r="E82" s="7"/>
      <c r="F82" s="8"/>
      <c r="G82" s="8"/>
      <c r="H82" s="9" t="str">
        <f t="shared" si="6"/>
        <v/>
      </c>
      <c r="I82" s="7" t="str">
        <f t="shared" si="5"/>
        <v/>
      </c>
      <c r="J82" s="7"/>
      <c r="K82" s="7" t="str">
        <f t="shared" si="7"/>
        <v/>
      </c>
    </row>
    <row r="83" spans="1:11" x14ac:dyDescent="0.25">
      <c r="A83" s="7"/>
      <c r="B83" s="7" t="str">
        <f>IF(A83="","",IFERROR(VLOOKUP(A83,Empleados!A:B,2,FALSE),""))</f>
        <v/>
      </c>
      <c r="C83" s="7" t="str">
        <f>IF(A83="","",IFERROR(VLOOKUP(A83,Empleados!A:J,9,FALSE),""))</f>
        <v/>
      </c>
      <c r="D83" s="7" t="str">
        <f>IF(A83="","",IFERROR(VLOOKUP(A83,Empleados!A:I,8,FALSE),""))</f>
        <v/>
      </c>
      <c r="E83" s="7"/>
      <c r="F83" s="8"/>
      <c r="G83" s="8"/>
      <c r="H83" s="9" t="str">
        <f t="shared" si="6"/>
        <v/>
      </c>
      <c r="I83" s="7" t="str">
        <f t="shared" si="5"/>
        <v/>
      </c>
      <c r="J83" s="7"/>
      <c r="K83" s="7" t="str">
        <f t="shared" si="7"/>
        <v/>
      </c>
    </row>
    <row r="84" spans="1:11" x14ac:dyDescent="0.25">
      <c r="A84" s="7"/>
      <c r="B84" s="7" t="str">
        <f>IF(A84="","",IFERROR(VLOOKUP(A84,Empleados!A:B,2,FALSE),""))</f>
        <v/>
      </c>
      <c r="C84" s="7" t="str">
        <f>IF(A84="","",IFERROR(VLOOKUP(A84,Empleados!A:J,9,FALSE),""))</f>
        <v/>
      </c>
      <c r="D84" s="7" t="str">
        <f>IF(A84="","",IFERROR(VLOOKUP(A84,Empleados!A:I,8,FALSE),""))</f>
        <v/>
      </c>
      <c r="E84" s="7"/>
      <c r="F84" s="8"/>
      <c r="G84" s="8"/>
      <c r="H84" s="9" t="str">
        <f t="shared" si="6"/>
        <v/>
      </c>
      <c r="I84" s="7" t="str">
        <f t="shared" si="5"/>
        <v/>
      </c>
      <c r="J84" s="7"/>
      <c r="K84" s="7" t="str">
        <f t="shared" si="7"/>
        <v/>
      </c>
    </row>
    <row r="85" spans="1:11" x14ac:dyDescent="0.25">
      <c r="A85" s="7"/>
      <c r="B85" s="7" t="str">
        <f>IF(A85="","",IFERROR(VLOOKUP(A85,Empleados!A:B,2,FALSE),""))</f>
        <v/>
      </c>
      <c r="C85" s="7" t="str">
        <f>IF(A85="","",IFERROR(VLOOKUP(A85,Empleados!A:J,9,FALSE),""))</f>
        <v/>
      </c>
      <c r="D85" s="7" t="str">
        <f>IF(A85="","",IFERROR(VLOOKUP(A85,Empleados!A:I,8,FALSE),""))</f>
        <v/>
      </c>
      <c r="E85" s="7"/>
      <c r="F85" s="8"/>
      <c r="G85" s="8"/>
      <c r="H85" s="9" t="str">
        <f t="shared" si="6"/>
        <v/>
      </c>
      <c r="I85" s="7" t="str">
        <f t="shared" si="5"/>
        <v/>
      </c>
      <c r="J85" s="7"/>
      <c r="K85" s="7" t="str">
        <f t="shared" si="7"/>
        <v/>
      </c>
    </row>
    <row r="86" spans="1:11" x14ac:dyDescent="0.25">
      <c r="A86" s="7"/>
      <c r="B86" s="7" t="str">
        <f>IF(A86="","",IFERROR(VLOOKUP(A86,Empleados!A:B,2,FALSE),""))</f>
        <v/>
      </c>
      <c r="C86" s="7" t="str">
        <f>IF(A86="","",IFERROR(VLOOKUP(A86,Empleados!A:J,9,FALSE),""))</f>
        <v/>
      </c>
      <c r="D86" s="7" t="str">
        <f>IF(A86="","",IFERROR(VLOOKUP(A86,Empleados!A:I,8,FALSE),""))</f>
        <v/>
      </c>
      <c r="E86" s="7"/>
      <c r="F86" s="8"/>
      <c r="G86" s="8"/>
      <c r="H86" s="9" t="str">
        <f t="shared" si="6"/>
        <v/>
      </c>
      <c r="I86" s="7" t="str">
        <f t="shared" si="5"/>
        <v/>
      </c>
      <c r="J86" s="7"/>
      <c r="K86" s="7" t="str">
        <f t="shared" si="7"/>
        <v/>
      </c>
    </row>
    <row r="87" spans="1:11" x14ac:dyDescent="0.25">
      <c r="A87" s="7"/>
      <c r="B87" s="7" t="str">
        <f>IF(A87="","",IFERROR(VLOOKUP(A87,Empleados!A:B,2,FALSE),""))</f>
        <v/>
      </c>
      <c r="C87" s="7" t="str">
        <f>IF(A87="","",IFERROR(VLOOKUP(A87,Empleados!A:J,9,FALSE),""))</f>
        <v/>
      </c>
      <c r="D87" s="7" t="str">
        <f>IF(A87="","",IFERROR(VLOOKUP(A87,Empleados!A:I,8,FALSE),""))</f>
        <v/>
      </c>
      <c r="E87" s="7"/>
      <c r="F87" s="8"/>
      <c r="G87" s="8"/>
      <c r="H87" s="9" t="str">
        <f t="shared" si="6"/>
        <v/>
      </c>
      <c r="I87" s="7" t="str">
        <f t="shared" si="5"/>
        <v/>
      </c>
      <c r="J87" s="7"/>
      <c r="K87" s="7" t="str">
        <f t="shared" si="7"/>
        <v/>
      </c>
    </row>
    <row r="88" spans="1:11" x14ac:dyDescent="0.25">
      <c r="A88" s="7"/>
      <c r="B88" s="7" t="str">
        <f>IF(A88="","",IFERROR(VLOOKUP(A88,Empleados!A:B,2,FALSE),""))</f>
        <v/>
      </c>
      <c r="C88" s="7" t="str">
        <f>IF(A88="","",IFERROR(VLOOKUP(A88,Empleados!A:J,9,FALSE),""))</f>
        <v/>
      </c>
      <c r="D88" s="7" t="str">
        <f>IF(A88="","",IFERROR(VLOOKUP(A88,Empleados!A:I,8,FALSE),""))</f>
        <v/>
      </c>
      <c r="E88" s="7"/>
      <c r="F88" s="8"/>
      <c r="G88" s="8"/>
      <c r="H88" s="9" t="str">
        <f t="shared" si="6"/>
        <v/>
      </c>
      <c r="I88" s="7" t="str">
        <f t="shared" ref="I88:I119" si="8">IF(A88="","","PENDIENTE")</f>
        <v/>
      </c>
      <c r="J88" s="7"/>
      <c r="K88" s="7" t="str">
        <f t="shared" si="7"/>
        <v/>
      </c>
    </row>
    <row r="89" spans="1:11" x14ac:dyDescent="0.25">
      <c r="A89" s="7"/>
      <c r="B89" s="7" t="str">
        <f>IF(A89="","",IFERROR(VLOOKUP(A89,Empleados!A:B,2,FALSE),""))</f>
        <v/>
      </c>
      <c r="C89" s="7" t="str">
        <f>IF(A89="","",IFERROR(VLOOKUP(A89,Empleados!A:J,9,FALSE),""))</f>
        <v/>
      </c>
      <c r="D89" s="7" t="str">
        <f>IF(A89="","",IFERROR(VLOOKUP(A89,Empleados!A:I,8,FALSE),""))</f>
        <v/>
      </c>
      <c r="E89" s="7"/>
      <c r="F89" s="8"/>
      <c r="G89" s="8"/>
      <c r="H89" s="9" t="str">
        <f t="shared" si="6"/>
        <v/>
      </c>
      <c r="I89" s="7" t="str">
        <f t="shared" si="8"/>
        <v/>
      </c>
      <c r="J89" s="7"/>
      <c r="K89" s="7" t="str">
        <f t="shared" si="7"/>
        <v/>
      </c>
    </row>
    <row r="90" spans="1:11" x14ac:dyDescent="0.25">
      <c r="A90" s="7"/>
      <c r="B90" s="7" t="str">
        <f>IF(A90="","",IFERROR(VLOOKUP(A90,Empleados!A:B,2,FALSE),""))</f>
        <v/>
      </c>
      <c r="C90" s="7" t="str">
        <f>IF(A90="","",IFERROR(VLOOKUP(A90,Empleados!A:J,9,FALSE),""))</f>
        <v/>
      </c>
      <c r="D90" s="7" t="str">
        <f>IF(A90="","",IFERROR(VLOOKUP(A90,Empleados!A:I,8,FALSE),""))</f>
        <v/>
      </c>
      <c r="E90" s="7"/>
      <c r="F90" s="8"/>
      <c r="G90" s="8"/>
      <c r="H90" s="9" t="str">
        <f t="shared" si="6"/>
        <v/>
      </c>
      <c r="I90" s="7" t="str">
        <f t="shared" si="8"/>
        <v/>
      </c>
      <c r="J90" s="7"/>
      <c r="K90" s="7" t="str">
        <f t="shared" si="7"/>
        <v/>
      </c>
    </row>
    <row r="91" spans="1:11" x14ac:dyDescent="0.25">
      <c r="A91" s="7"/>
      <c r="B91" s="7" t="str">
        <f>IF(A91="","",IFERROR(VLOOKUP(A91,Empleados!A:B,2,FALSE),""))</f>
        <v/>
      </c>
      <c r="C91" s="7" t="str">
        <f>IF(A91="","",IFERROR(VLOOKUP(A91,Empleados!A:J,9,FALSE),""))</f>
        <v/>
      </c>
      <c r="D91" s="7" t="str">
        <f>IF(A91="","",IFERROR(VLOOKUP(A91,Empleados!A:I,8,FALSE),""))</f>
        <v/>
      </c>
      <c r="E91" s="7"/>
      <c r="F91" s="8"/>
      <c r="G91" s="8"/>
      <c r="H91" s="9" t="str">
        <f t="shared" si="6"/>
        <v/>
      </c>
      <c r="I91" s="7" t="str">
        <f t="shared" si="8"/>
        <v/>
      </c>
      <c r="J91" s="7"/>
      <c r="K91" s="7" t="str">
        <f t="shared" si="7"/>
        <v/>
      </c>
    </row>
    <row r="92" spans="1:11" x14ac:dyDescent="0.25">
      <c r="A92" s="7"/>
      <c r="B92" s="7" t="str">
        <f>IF(A92="","",IFERROR(VLOOKUP(A92,Empleados!A:B,2,FALSE),""))</f>
        <v/>
      </c>
      <c r="C92" s="7" t="str">
        <f>IF(A92="","",IFERROR(VLOOKUP(A92,Empleados!A:J,9,FALSE),""))</f>
        <v/>
      </c>
      <c r="D92" s="7" t="str">
        <f>IF(A92="","",IFERROR(VLOOKUP(A92,Empleados!A:I,8,FALSE),""))</f>
        <v/>
      </c>
      <c r="E92" s="7"/>
      <c r="F92" s="8"/>
      <c r="G92" s="8"/>
      <c r="H92" s="9" t="str">
        <f t="shared" si="6"/>
        <v/>
      </c>
      <c r="I92" s="7" t="str">
        <f t="shared" si="8"/>
        <v/>
      </c>
      <c r="J92" s="7"/>
      <c r="K92" s="7" t="str">
        <f t="shared" si="7"/>
        <v/>
      </c>
    </row>
    <row r="93" spans="1:11" x14ac:dyDescent="0.25">
      <c r="A93" s="7"/>
      <c r="B93" s="7" t="str">
        <f>IF(A93="","",IFERROR(VLOOKUP(A93,Empleados!A:B,2,FALSE),""))</f>
        <v/>
      </c>
      <c r="C93" s="7" t="str">
        <f>IF(A93="","",IFERROR(VLOOKUP(A93,Empleados!A:J,9,FALSE),""))</f>
        <v/>
      </c>
      <c r="D93" s="7" t="str">
        <f>IF(A93="","",IFERROR(VLOOKUP(A93,Empleados!A:I,8,FALSE),""))</f>
        <v/>
      </c>
      <c r="E93" s="7"/>
      <c r="F93" s="8"/>
      <c r="G93" s="8"/>
      <c r="H93" s="9" t="str">
        <f t="shared" si="6"/>
        <v/>
      </c>
      <c r="I93" s="7" t="str">
        <f t="shared" si="8"/>
        <v/>
      </c>
      <c r="J93" s="7"/>
      <c r="K93" s="7" t="str">
        <f t="shared" si="7"/>
        <v/>
      </c>
    </row>
    <row r="94" spans="1:11" x14ac:dyDescent="0.25">
      <c r="A94" s="7"/>
      <c r="B94" s="7" t="str">
        <f>IF(A94="","",IFERROR(VLOOKUP(A94,Empleados!A:B,2,FALSE),""))</f>
        <v/>
      </c>
      <c r="C94" s="7" t="str">
        <f>IF(A94="","",IFERROR(VLOOKUP(A94,Empleados!A:J,9,FALSE),""))</f>
        <v/>
      </c>
      <c r="D94" s="7" t="str">
        <f>IF(A94="","",IFERROR(VLOOKUP(A94,Empleados!A:I,8,FALSE),""))</f>
        <v/>
      </c>
      <c r="E94" s="7"/>
      <c r="F94" s="8"/>
      <c r="G94" s="8"/>
      <c r="H94" s="9" t="str">
        <f t="shared" si="6"/>
        <v/>
      </c>
      <c r="I94" s="7" t="str">
        <f t="shared" si="8"/>
        <v/>
      </c>
      <c r="J94" s="7"/>
      <c r="K94" s="7" t="str">
        <f t="shared" si="7"/>
        <v/>
      </c>
    </row>
    <row r="95" spans="1:11" x14ac:dyDescent="0.25">
      <c r="A95" s="7"/>
      <c r="B95" s="7" t="str">
        <f>IF(A95="","",IFERROR(VLOOKUP(A95,Empleados!A:B,2,FALSE),""))</f>
        <v/>
      </c>
      <c r="C95" s="7" t="str">
        <f>IF(A95="","",IFERROR(VLOOKUP(A95,Empleados!A:J,9,FALSE),""))</f>
        <v/>
      </c>
      <c r="D95" s="7" t="str">
        <f>IF(A95="","",IFERROR(VLOOKUP(A95,Empleados!A:I,8,FALSE),""))</f>
        <v/>
      </c>
      <c r="E95" s="7"/>
      <c r="F95" s="8"/>
      <c r="G95" s="8"/>
      <c r="H95" s="9" t="str">
        <f t="shared" si="6"/>
        <v/>
      </c>
      <c r="I95" s="7" t="str">
        <f t="shared" si="8"/>
        <v/>
      </c>
      <c r="J95" s="7"/>
      <c r="K95" s="7" t="str">
        <f t="shared" si="7"/>
        <v/>
      </c>
    </row>
    <row r="96" spans="1:11" x14ac:dyDescent="0.25">
      <c r="A96" s="7"/>
      <c r="B96" s="7" t="str">
        <f>IF(A96="","",IFERROR(VLOOKUP(A96,Empleados!A:B,2,FALSE),""))</f>
        <v/>
      </c>
      <c r="C96" s="7" t="str">
        <f>IF(A96="","",IFERROR(VLOOKUP(A96,Empleados!A:J,9,FALSE),""))</f>
        <v/>
      </c>
      <c r="D96" s="7" t="str">
        <f>IF(A96="","",IFERROR(VLOOKUP(A96,Empleados!A:I,8,FALSE),""))</f>
        <v/>
      </c>
      <c r="E96" s="7"/>
      <c r="F96" s="8"/>
      <c r="G96" s="8"/>
      <c r="H96" s="9" t="str">
        <f t="shared" si="6"/>
        <v/>
      </c>
      <c r="I96" s="7" t="str">
        <f t="shared" si="8"/>
        <v/>
      </c>
      <c r="J96" s="7"/>
      <c r="K96" s="7" t="str">
        <f t="shared" si="7"/>
        <v/>
      </c>
    </row>
    <row r="97" spans="1:11" x14ac:dyDescent="0.25">
      <c r="A97" s="7"/>
      <c r="B97" s="7" t="str">
        <f>IF(A97="","",IFERROR(VLOOKUP(A97,Empleados!A:B,2,FALSE),""))</f>
        <v/>
      </c>
      <c r="C97" s="7" t="str">
        <f>IF(A97="","",IFERROR(VLOOKUP(A97,Empleados!A:J,9,FALSE),""))</f>
        <v/>
      </c>
      <c r="D97" s="7" t="str">
        <f>IF(A97="","",IFERROR(VLOOKUP(A97,Empleados!A:I,8,FALSE),""))</f>
        <v/>
      </c>
      <c r="E97" s="7"/>
      <c r="F97" s="8"/>
      <c r="G97" s="8"/>
      <c r="H97" s="9" t="str">
        <f t="shared" si="6"/>
        <v/>
      </c>
      <c r="I97" s="7" t="str">
        <f t="shared" si="8"/>
        <v/>
      </c>
      <c r="J97" s="7"/>
      <c r="K97" s="7" t="str">
        <f t="shared" si="7"/>
        <v/>
      </c>
    </row>
    <row r="98" spans="1:11" x14ac:dyDescent="0.25">
      <c r="A98" s="7"/>
      <c r="B98" s="7" t="str">
        <f>IF(A98="","",IFERROR(VLOOKUP(A98,Empleados!A:B,2,FALSE),""))</f>
        <v/>
      </c>
      <c r="C98" s="7" t="str">
        <f>IF(A98="","",IFERROR(VLOOKUP(A98,Empleados!A:J,9,FALSE),""))</f>
        <v/>
      </c>
      <c r="D98" s="7" t="str">
        <f>IF(A98="","",IFERROR(VLOOKUP(A98,Empleados!A:I,8,FALSE),""))</f>
        <v/>
      </c>
      <c r="E98" s="7"/>
      <c r="F98" s="8"/>
      <c r="G98" s="8"/>
      <c r="H98" s="9" t="str">
        <f t="shared" ref="H98:H129" si="9">IF(OR(F98="",G98=""),"",G98-F98+1)</f>
        <v/>
      </c>
      <c r="I98" s="7" t="str">
        <f t="shared" si="8"/>
        <v/>
      </c>
      <c r="J98" s="7"/>
      <c r="K98" s="7" t="str">
        <f t="shared" ref="K98:K129" si="10">IF(A98="","",A98&amp;"|"&amp;TEXT(F98,"yyyymmdd")&amp;"|"&amp;TEXT(G98,"yyyymmdd"))</f>
        <v/>
      </c>
    </row>
    <row r="99" spans="1:11" x14ac:dyDescent="0.25">
      <c r="A99" s="7"/>
      <c r="B99" s="7" t="str">
        <f>IF(A99="","",IFERROR(VLOOKUP(A99,Empleados!A:B,2,FALSE),""))</f>
        <v/>
      </c>
      <c r="C99" s="7" t="str">
        <f>IF(A99="","",IFERROR(VLOOKUP(A99,Empleados!A:J,9,FALSE),""))</f>
        <v/>
      </c>
      <c r="D99" s="7" t="str">
        <f>IF(A99="","",IFERROR(VLOOKUP(A99,Empleados!A:I,8,FALSE),""))</f>
        <v/>
      </c>
      <c r="E99" s="7"/>
      <c r="F99" s="8"/>
      <c r="G99" s="8"/>
      <c r="H99" s="9" t="str">
        <f t="shared" si="9"/>
        <v/>
      </c>
      <c r="I99" s="7" t="str">
        <f t="shared" si="8"/>
        <v/>
      </c>
      <c r="J99" s="7"/>
      <c r="K99" s="7" t="str">
        <f t="shared" si="10"/>
        <v/>
      </c>
    </row>
    <row r="100" spans="1:11" x14ac:dyDescent="0.25">
      <c r="A100" s="7"/>
      <c r="B100" s="7" t="str">
        <f>IF(A100="","",IFERROR(VLOOKUP(A100,Empleados!A:B,2,FALSE),""))</f>
        <v/>
      </c>
      <c r="C100" s="7" t="str">
        <f>IF(A100="","",IFERROR(VLOOKUP(A100,Empleados!A:J,9,FALSE),""))</f>
        <v/>
      </c>
      <c r="D100" s="7" t="str">
        <f>IF(A100="","",IFERROR(VLOOKUP(A100,Empleados!A:I,8,FALSE),""))</f>
        <v/>
      </c>
      <c r="E100" s="7"/>
      <c r="F100" s="8"/>
      <c r="G100" s="8"/>
      <c r="H100" s="9" t="str">
        <f t="shared" si="9"/>
        <v/>
      </c>
      <c r="I100" s="7" t="str">
        <f t="shared" si="8"/>
        <v/>
      </c>
      <c r="J100" s="7"/>
      <c r="K100" s="7" t="str">
        <f t="shared" si="10"/>
        <v/>
      </c>
    </row>
    <row r="101" spans="1:11" x14ac:dyDescent="0.25">
      <c r="A101" s="7"/>
      <c r="B101" s="7" t="str">
        <f>IF(A101="","",IFERROR(VLOOKUP(A101,Empleados!A:B,2,FALSE),""))</f>
        <v/>
      </c>
      <c r="C101" s="7" t="str">
        <f>IF(A101="","",IFERROR(VLOOKUP(A101,Empleados!A:J,9,FALSE),""))</f>
        <v/>
      </c>
      <c r="D101" s="7" t="str">
        <f>IF(A101="","",IFERROR(VLOOKUP(A101,Empleados!A:I,8,FALSE),""))</f>
        <v/>
      </c>
      <c r="E101" s="7"/>
      <c r="F101" s="8"/>
      <c r="G101" s="8"/>
      <c r="H101" s="9" t="str">
        <f t="shared" si="9"/>
        <v/>
      </c>
      <c r="I101" s="7" t="str">
        <f t="shared" si="8"/>
        <v/>
      </c>
      <c r="J101" s="7"/>
      <c r="K101" s="7" t="str">
        <f t="shared" si="10"/>
        <v/>
      </c>
    </row>
    <row r="102" spans="1:11" x14ac:dyDescent="0.25">
      <c r="A102" s="7"/>
      <c r="B102" s="7" t="str">
        <f>IF(A102="","",IFERROR(VLOOKUP(A102,Empleados!A:B,2,FALSE),""))</f>
        <v/>
      </c>
      <c r="C102" s="7" t="str">
        <f>IF(A102="","",IFERROR(VLOOKUP(A102,Empleados!A:J,9,FALSE),""))</f>
        <v/>
      </c>
      <c r="D102" s="7" t="str">
        <f>IF(A102="","",IFERROR(VLOOKUP(A102,Empleados!A:I,8,FALSE),""))</f>
        <v/>
      </c>
      <c r="E102" s="7"/>
      <c r="F102" s="8"/>
      <c r="G102" s="8"/>
      <c r="H102" s="9" t="str">
        <f t="shared" si="9"/>
        <v/>
      </c>
      <c r="I102" s="7" t="str">
        <f t="shared" si="8"/>
        <v/>
      </c>
      <c r="J102" s="7"/>
      <c r="K102" s="7" t="str">
        <f t="shared" si="10"/>
        <v/>
      </c>
    </row>
    <row r="103" spans="1:11" x14ac:dyDescent="0.25">
      <c r="A103" s="7"/>
      <c r="B103" s="7" t="str">
        <f>IF(A103="","",IFERROR(VLOOKUP(A103,Empleados!A:B,2,FALSE),""))</f>
        <v/>
      </c>
      <c r="C103" s="7" t="str">
        <f>IF(A103="","",IFERROR(VLOOKUP(A103,Empleados!A:J,9,FALSE),""))</f>
        <v/>
      </c>
      <c r="D103" s="7" t="str">
        <f>IF(A103="","",IFERROR(VLOOKUP(A103,Empleados!A:I,8,FALSE),""))</f>
        <v/>
      </c>
      <c r="E103" s="7"/>
      <c r="F103" s="8"/>
      <c r="G103" s="8"/>
      <c r="H103" s="9" t="str">
        <f t="shared" si="9"/>
        <v/>
      </c>
      <c r="I103" s="7" t="str">
        <f t="shared" si="8"/>
        <v/>
      </c>
      <c r="J103" s="7"/>
      <c r="K103" s="7" t="str">
        <f t="shared" si="10"/>
        <v/>
      </c>
    </row>
    <row r="104" spans="1:11" x14ac:dyDescent="0.25">
      <c r="A104" s="7"/>
      <c r="B104" s="7" t="str">
        <f>IF(A104="","",IFERROR(VLOOKUP(A104,Empleados!A:B,2,FALSE),""))</f>
        <v/>
      </c>
      <c r="C104" s="7" t="str">
        <f>IF(A104="","",IFERROR(VLOOKUP(A104,Empleados!A:J,9,FALSE),""))</f>
        <v/>
      </c>
      <c r="D104" s="7" t="str">
        <f>IF(A104="","",IFERROR(VLOOKUP(A104,Empleados!A:I,8,FALSE),""))</f>
        <v/>
      </c>
      <c r="E104" s="7"/>
      <c r="F104" s="8"/>
      <c r="G104" s="8"/>
      <c r="H104" s="9" t="str">
        <f t="shared" si="9"/>
        <v/>
      </c>
      <c r="I104" s="7" t="str">
        <f t="shared" si="8"/>
        <v/>
      </c>
      <c r="J104" s="7"/>
      <c r="K104" s="7" t="str">
        <f t="shared" si="10"/>
        <v/>
      </c>
    </row>
    <row r="105" spans="1:11" x14ac:dyDescent="0.25">
      <c r="A105" s="7"/>
      <c r="B105" s="7" t="str">
        <f>IF(A105="","",IFERROR(VLOOKUP(A105,Empleados!A:B,2,FALSE),""))</f>
        <v/>
      </c>
      <c r="C105" s="7" t="str">
        <f>IF(A105="","",IFERROR(VLOOKUP(A105,Empleados!A:J,9,FALSE),""))</f>
        <v/>
      </c>
      <c r="D105" s="7" t="str">
        <f>IF(A105="","",IFERROR(VLOOKUP(A105,Empleados!A:I,8,FALSE),""))</f>
        <v/>
      </c>
      <c r="E105" s="7"/>
      <c r="F105" s="8"/>
      <c r="G105" s="8"/>
      <c r="H105" s="9" t="str">
        <f t="shared" si="9"/>
        <v/>
      </c>
      <c r="I105" s="7" t="str">
        <f t="shared" si="8"/>
        <v/>
      </c>
      <c r="J105" s="7"/>
      <c r="K105" s="7" t="str">
        <f t="shared" si="10"/>
        <v/>
      </c>
    </row>
    <row r="106" spans="1:11" x14ac:dyDescent="0.25">
      <c r="A106" s="7"/>
      <c r="B106" s="7" t="str">
        <f>IF(A106="","",IFERROR(VLOOKUP(A106,Empleados!A:B,2,FALSE),""))</f>
        <v/>
      </c>
      <c r="C106" s="7" t="str">
        <f>IF(A106="","",IFERROR(VLOOKUP(A106,Empleados!A:J,9,FALSE),""))</f>
        <v/>
      </c>
      <c r="D106" s="7" t="str">
        <f>IF(A106="","",IFERROR(VLOOKUP(A106,Empleados!A:I,8,FALSE),""))</f>
        <v/>
      </c>
      <c r="E106" s="7"/>
      <c r="F106" s="8"/>
      <c r="G106" s="8"/>
      <c r="H106" s="9" t="str">
        <f t="shared" si="9"/>
        <v/>
      </c>
      <c r="I106" s="7" t="str">
        <f t="shared" si="8"/>
        <v/>
      </c>
      <c r="J106" s="7"/>
      <c r="K106" s="7" t="str">
        <f t="shared" si="10"/>
        <v/>
      </c>
    </row>
    <row r="107" spans="1:11" x14ac:dyDescent="0.25">
      <c r="A107" s="7"/>
      <c r="B107" s="7" t="str">
        <f>IF(A107="","",IFERROR(VLOOKUP(A107,Empleados!A:B,2,FALSE),""))</f>
        <v/>
      </c>
      <c r="C107" s="7" t="str">
        <f>IF(A107="","",IFERROR(VLOOKUP(A107,Empleados!A:J,9,FALSE),""))</f>
        <v/>
      </c>
      <c r="D107" s="7" t="str">
        <f>IF(A107="","",IFERROR(VLOOKUP(A107,Empleados!A:I,8,FALSE),""))</f>
        <v/>
      </c>
      <c r="E107" s="7"/>
      <c r="F107" s="8"/>
      <c r="G107" s="8"/>
      <c r="H107" s="9" t="str">
        <f t="shared" si="9"/>
        <v/>
      </c>
      <c r="I107" s="7" t="str">
        <f t="shared" si="8"/>
        <v/>
      </c>
      <c r="J107" s="7"/>
      <c r="K107" s="7" t="str">
        <f t="shared" si="10"/>
        <v/>
      </c>
    </row>
    <row r="108" spans="1:11" x14ac:dyDescent="0.25">
      <c r="A108" s="7"/>
      <c r="B108" s="7" t="str">
        <f>IF(A108="","",IFERROR(VLOOKUP(A108,Empleados!A:B,2,FALSE),""))</f>
        <v/>
      </c>
      <c r="C108" s="7" t="str">
        <f>IF(A108="","",IFERROR(VLOOKUP(A108,Empleados!A:J,9,FALSE),""))</f>
        <v/>
      </c>
      <c r="D108" s="7" t="str">
        <f>IF(A108="","",IFERROR(VLOOKUP(A108,Empleados!A:I,8,FALSE),""))</f>
        <v/>
      </c>
      <c r="E108" s="7"/>
      <c r="F108" s="8"/>
      <c r="G108" s="8"/>
      <c r="H108" s="9" t="str">
        <f t="shared" si="9"/>
        <v/>
      </c>
      <c r="I108" s="7" t="str">
        <f t="shared" si="8"/>
        <v/>
      </c>
      <c r="J108" s="7"/>
      <c r="K108" s="7" t="str">
        <f t="shared" si="10"/>
        <v/>
      </c>
    </row>
    <row r="109" spans="1:11" x14ac:dyDescent="0.25">
      <c r="A109" s="7"/>
      <c r="B109" s="7" t="str">
        <f>IF(A109="","",IFERROR(VLOOKUP(A109,Empleados!A:B,2,FALSE),""))</f>
        <v/>
      </c>
      <c r="C109" s="7" t="str">
        <f>IF(A109="","",IFERROR(VLOOKUP(A109,Empleados!A:J,9,FALSE),""))</f>
        <v/>
      </c>
      <c r="D109" s="7" t="str">
        <f>IF(A109="","",IFERROR(VLOOKUP(A109,Empleados!A:I,8,FALSE),""))</f>
        <v/>
      </c>
      <c r="E109" s="7"/>
      <c r="F109" s="8"/>
      <c r="G109" s="8"/>
      <c r="H109" s="9" t="str">
        <f t="shared" si="9"/>
        <v/>
      </c>
      <c r="I109" s="7" t="str">
        <f t="shared" si="8"/>
        <v/>
      </c>
      <c r="J109" s="7"/>
      <c r="K109" s="7" t="str">
        <f t="shared" si="10"/>
        <v/>
      </c>
    </row>
    <row r="110" spans="1:11" x14ac:dyDescent="0.25">
      <c r="A110" s="7"/>
      <c r="B110" s="7" t="str">
        <f>IF(A110="","",IFERROR(VLOOKUP(A110,Empleados!A:B,2,FALSE),""))</f>
        <v/>
      </c>
      <c r="C110" s="7" t="str">
        <f>IF(A110="","",IFERROR(VLOOKUP(A110,Empleados!A:J,9,FALSE),""))</f>
        <v/>
      </c>
      <c r="D110" s="7" t="str">
        <f>IF(A110="","",IFERROR(VLOOKUP(A110,Empleados!A:I,8,FALSE),""))</f>
        <v/>
      </c>
      <c r="E110" s="7"/>
      <c r="F110" s="8"/>
      <c r="G110" s="8"/>
      <c r="H110" s="9" t="str">
        <f t="shared" si="9"/>
        <v/>
      </c>
      <c r="I110" s="7" t="str">
        <f t="shared" si="8"/>
        <v/>
      </c>
      <c r="J110" s="7"/>
      <c r="K110" s="7" t="str">
        <f t="shared" si="10"/>
        <v/>
      </c>
    </row>
    <row r="111" spans="1:11" x14ac:dyDescent="0.25">
      <c r="A111" s="7"/>
      <c r="B111" s="7" t="str">
        <f>IF(A111="","",IFERROR(VLOOKUP(A111,Empleados!A:B,2,FALSE),""))</f>
        <v/>
      </c>
      <c r="C111" s="7" t="str">
        <f>IF(A111="","",IFERROR(VLOOKUP(A111,Empleados!A:J,9,FALSE),""))</f>
        <v/>
      </c>
      <c r="D111" s="7" t="str">
        <f>IF(A111="","",IFERROR(VLOOKUP(A111,Empleados!A:I,8,FALSE),""))</f>
        <v/>
      </c>
      <c r="E111" s="7"/>
      <c r="F111" s="8"/>
      <c r="G111" s="8"/>
      <c r="H111" s="9" t="str">
        <f t="shared" si="9"/>
        <v/>
      </c>
      <c r="I111" s="7" t="str">
        <f t="shared" si="8"/>
        <v/>
      </c>
      <c r="J111" s="7"/>
      <c r="K111" s="7" t="str">
        <f t="shared" si="10"/>
        <v/>
      </c>
    </row>
    <row r="112" spans="1:11" x14ac:dyDescent="0.25">
      <c r="A112" s="7"/>
      <c r="B112" s="7" t="str">
        <f>IF(A112="","",IFERROR(VLOOKUP(A112,Empleados!A:B,2,FALSE),""))</f>
        <v/>
      </c>
      <c r="C112" s="7" t="str">
        <f>IF(A112="","",IFERROR(VLOOKUP(A112,Empleados!A:J,9,FALSE),""))</f>
        <v/>
      </c>
      <c r="D112" s="7" t="str">
        <f>IF(A112="","",IFERROR(VLOOKUP(A112,Empleados!A:I,8,FALSE),""))</f>
        <v/>
      </c>
      <c r="E112" s="7"/>
      <c r="F112" s="8"/>
      <c r="G112" s="8"/>
      <c r="H112" s="9" t="str">
        <f t="shared" si="9"/>
        <v/>
      </c>
      <c r="I112" s="7" t="str">
        <f t="shared" si="8"/>
        <v/>
      </c>
      <c r="J112" s="7"/>
      <c r="K112" s="7" t="str">
        <f t="shared" si="10"/>
        <v/>
      </c>
    </row>
    <row r="113" spans="1:11" x14ac:dyDescent="0.25">
      <c r="A113" s="7"/>
      <c r="B113" s="7" t="str">
        <f>IF(A113="","",IFERROR(VLOOKUP(A113,Empleados!A:B,2,FALSE),""))</f>
        <v/>
      </c>
      <c r="C113" s="7" t="str">
        <f>IF(A113="","",IFERROR(VLOOKUP(A113,Empleados!A:J,9,FALSE),""))</f>
        <v/>
      </c>
      <c r="D113" s="7" t="str">
        <f>IF(A113="","",IFERROR(VLOOKUP(A113,Empleados!A:I,8,FALSE),""))</f>
        <v/>
      </c>
      <c r="E113" s="7"/>
      <c r="F113" s="8"/>
      <c r="G113" s="8"/>
      <c r="H113" s="9" t="str">
        <f t="shared" si="9"/>
        <v/>
      </c>
      <c r="I113" s="7" t="str">
        <f t="shared" si="8"/>
        <v/>
      </c>
      <c r="J113" s="7"/>
      <c r="K113" s="7" t="str">
        <f t="shared" si="10"/>
        <v/>
      </c>
    </row>
    <row r="114" spans="1:11" x14ac:dyDescent="0.25">
      <c r="A114" s="7"/>
      <c r="B114" s="7" t="str">
        <f>IF(A114="","",IFERROR(VLOOKUP(A114,Empleados!A:B,2,FALSE),""))</f>
        <v/>
      </c>
      <c r="C114" s="7" t="str">
        <f>IF(A114="","",IFERROR(VLOOKUP(A114,Empleados!A:J,9,FALSE),""))</f>
        <v/>
      </c>
      <c r="D114" s="7" t="str">
        <f>IF(A114="","",IFERROR(VLOOKUP(A114,Empleados!A:I,8,FALSE),""))</f>
        <v/>
      </c>
      <c r="E114" s="7"/>
      <c r="F114" s="8"/>
      <c r="G114" s="8"/>
      <c r="H114" s="9" t="str">
        <f t="shared" si="9"/>
        <v/>
      </c>
      <c r="I114" s="7" t="str">
        <f t="shared" si="8"/>
        <v/>
      </c>
      <c r="J114" s="7"/>
      <c r="K114" s="7" t="str">
        <f t="shared" si="10"/>
        <v/>
      </c>
    </row>
    <row r="115" spans="1:11" x14ac:dyDescent="0.25">
      <c r="A115" s="7"/>
      <c r="B115" s="7" t="str">
        <f>IF(A115="","",IFERROR(VLOOKUP(A115,Empleados!A:B,2,FALSE),""))</f>
        <v/>
      </c>
      <c r="C115" s="7" t="str">
        <f>IF(A115="","",IFERROR(VLOOKUP(A115,Empleados!A:J,9,FALSE),""))</f>
        <v/>
      </c>
      <c r="D115" s="7" t="str">
        <f>IF(A115="","",IFERROR(VLOOKUP(A115,Empleados!A:I,8,FALSE),""))</f>
        <v/>
      </c>
      <c r="E115" s="7"/>
      <c r="F115" s="8"/>
      <c r="G115" s="8"/>
      <c r="H115" s="9" t="str">
        <f t="shared" si="9"/>
        <v/>
      </c>
      <c r="I115" s="7" t="str">
        <f t="shared" si="8"/>
        <v/>
      </c>
      <c r="J115" s="7"/>
      <c r="K115" s="7" t="str">
        <f t="shared" si="10"/>
        <v/>
      </c>
    </row>
    <row r="116" spans="1:11" x14ac:dyDescent="0.25">
      <c r="A116" s="7"/>
      <c r="B116" s="7" t="str">
        <f>IF(A116="","",IFERROR(VLOOKUP(A116,Empleados!A:B,2,FALSE),""))</f>
        <v/>
      </c>
      <c r="C116" s="7" t="str">
        <f>IF(A116="","",IFERROR(VLOOKUP(A116,Empleados!A:J,9,FALSE),""))</f>
        <v/>
      </c>
      <c r="D116" s="7" t="str">
        <f>IF(A116="","",IFERROR(VLOOKUP(A116,Empleados!A:I,8,FALSE),""))</f>
        <v/>
      </c>
      <c r="E116" s="7"/>
      <c r="F116" s="8"/>
      <c r="G116" s="8"/>
      <c r="H116" s="9" t="str">
        <f t="shared" si="9"/>
        <v/>
      </c>
      <c r="I116" s="7" t="str">
        <f t="shared" si="8"/>
        <v/>
      </c>
      <c r="J116" s="7"/>
      <c r="K116" s="7" t="str">
        <f t="shared" si="10"/>
        <v/>
      </c>
    </row>
    <row r="117" spans="1:11" x14ac:dyDescent="0.25">
      <c r="A117" s="7"/>
      <c r="B117" s="7" t="str">
        <f>IF(A117="","",IFERROR(VLOOKUP(A117,Empleados!A:B,2,FALSE),""))</f>
        <v/>
      </c>
      <c r="C117" s="7" t="str">
        <f>IF(A117="","",IFERROR(VLOOKUP(A117,Empleados!A:J,9,FALSE),""))</f>
        <v/>
      </c>
      <c r="D117" s="7" t="str">
        <f>IF(A117="","",IFERROR(VLOOKUP(A117,Empleados!A:I,8,FALSE),""))</f>
        <v/>
      </c>
      <c r="E117" s="7"/>
      <c r="F117" s="8"/>
      <c r="G117" s="8"/>
      <c r="H117" s="9" t="str">
        <f t="shared" si="9"/>
        <v/>
      </c>
      <c r="I117" s="7" t="str">
        <f t="shared" si="8"/>
        <v/>
      </c>
      <c r="J117" s="7"/>
      <c r="K117" s="7" t="str">
        <f t="shared" si="10"/>
        <v/>
      </c>
    </row>
    <row r="118" spans="1:11" x14ac:dyDescent="0.25">
      <c r="A118" s="7"/>
      <c r="B118" s="7" t="str">
        <f>IF(A118="","",IFERROR(VLOOKUP(A118,Empleados!A:B,2,FALSE),""))</f>
        <v/>
      </c>
      <c r="C118" s="7" t="str">
        <f>IF(A118="","",IFERROR(VLOOKUP(A118,Empleados!A:J,9,FALSE),""))</f>
        <v/>
      </c>
      <c r="D118" s="7" t="str">
        <f>IF(A118="","",IFERROR(VLOOKUP(A118,Empleados!A:I,8,FALSE),""))</f>
        <v/>
      </c>
      <c r="E118" s="7"/>
      <c r="F118" s="8"/>
      <c r="G118" s="8"/>
      <c r="H118" s="9" t="str">
        <f t="shared" si="9"/>
        <v/>
      </c>
      <c r="I118" s="7" t="str">
        <f t="shared" si="8"/>
        <v/>
      </c>
      <c r="J118" s="7"/>
      <c r="K118" s="7" t="str">
        <f t="shared" si="10"/>
        <v/>
      </c>
    </row>
    <row r="119" spans="1:11" x14ac:dyDescent="0.25">
      <c r="A119" s="7"/>
      <c r="B119" s="7" t="str">
        <f>IF(A119="","",IFERROR(VLOOKUP(A119,Empleados!A:B,2,FALSE),""))</f>
        <v/>
      </c>
      <c r="C119" s="7" t="str">
        <f>IF(A119="","",IFERROR(VLOOKUP(A119,Empleados!A:J,9,FALSE),""))</f>
        <v/>
      </c>
      <c r="D119" s="7" t="str">
        <f>IF(A119="","",IFERROR(VLOOKUP(A119,Empleados!A:I,8,FALSE),""))</f>
        <v/>
      </c>
      <c r="E119" s="7"/>
      <c r="F119" s="8"/>
      <c r="G119" s="8"/>
      <c r="H119" s="9" t="str">
        <f t="shared" si="9"/>
        <v/>
      </c>
      <c r="I119" s="7" t="str">
        <f t="shared" si="8"/>
        <v/>
      </c>
      <c r="J119" s="7"/>
      <c r="K119" s="7" t="str">
        <f t="shared" si="10"/>
        <v/>
      </c>
    </row>
    <row r="120" spans="1:11" x14ac:dyDescent="0.25">
      <c r="A120" s="7"/>
      <c r="B120" s="7" t="str">
        <f>IF(A120="","",IFERROR(VLOOKUP(A120,Empleados!A:B,2,FALSE),""))</f>
        <v/>
      </c>
      <c r="C120" s="7" t="str">
        <f>IF(A120="","",IFERROR(VLOOKUP(A120,Empleados!A:J,9,FALSE),""))</f>
        <v/>
      </c>
      <c r="D120" s="7" t="str">
        <f>IF(A120="","",IFERROR(VLOOKUP(A120,Empleados!A:I,8,FALSE),""))</f>
        <v/>
      </c>
      <c r="E120" s="7"/>
      <c r="F120" s="8"/>
      <c r="G120" s="8"/>
      <c r="H120" s="9" t="str">
        <f t="shared" si="9"/>
        <v/>
      </c>
      <c r="I120" s="7" t="str">
        <f t="shared" ref="I120:I151" si="11">IF(A120="","","PENDIENTE")</f>
        <v/>
      </c>
      <c r="J120" s="7"/>
      <c r="K120" s="7" t="str">
        <f t="shared" si="10"/>
        <v/>
      </c>
    </row>
    <row r="121" spans="1:11" x14ac:dyDescent="0.25">
      <c r="A121" s="7"/>
      <c r="B121" s="7" t="str">
        <f>IF(A121="","",IFERROR(VLOOKUP(A121,Empleados!A:B,2,FALSE),""))</f>
        <v/>
      </c>
      <c r="C121" s="7" t="str">
        <f>IF(A121="","",IFERROR(VLOOKUP(A121,Empleados!A:J,9,FALSE),""))</f>
        <v/>
      </c>
      <c r="D121" s="7" t="str">
        <f>IF(A121="","",IFERROR(VLOOKUP(A121,Empleados!A:I,8,FALSE),""))</f>
        <v/>
      </c>
      <c r="E121" s="7"/>
      <c r="F121" s="8"/>
      <c r="G121" s="8"/>
      <c r="H121" s="9" t="str">
        <f t="shared" si="9"/>
        <v/>
      </c>
      <c r="I121" s="7" t="str">
        <f t="shared" si="11"/>
        <v/>
      </c>
      <c r="J121" s="7"/>
      <c r="K121" s="7" t="str">
        <f t="shared" si="10"/>
        <v/>
      </c>
    </row>
    <row r="122" spans="1:11" x14ac:dyDescent="0.25">
      <c r="A122" s="7"/>
      <c r="B122" s="7" t="str">
        <f>IF(A122="","",IFERROR(VLOOKUP(A122,Empleados!A:B,2,FALSE),""))</f>
        <v/>
      </c>
      <c r="C122" s="7" t="str">
        <f>IF(A122="","",IFERROR(VLOOKUP(A122,Empleados!A:J,9,FALSE),""))</f>
        <v/>
      </c>
      <c r="D122" s="7" t="str">
        <f>IF(A122="","",IFERROR(VLOOKUP(A122,Empleados!A:I,8,FALSE),""))</f>
        <v/>
      </c>
      <c r="E122" s="7"/>
      <c r="F122" s="8"/>
      <c r="G122" s="8"/>
      <c r="H122" s="9" t="str">
        <f t="shared" si="9"/>
        <v/>
      </c>
      <c r="I122" s="7" t="str">
        <f t="shared" si="11"/>
        <v/>
      </c>
      <c r="J122" s="7"/>
      <c r="K122" s="7" t="str">
        <f t="shared" si="10"/>
        <v/>
      </c>
    </row>
    <row r="123" spans="1:11" x14ac:dyDescent="0.25">
      <c r="A123" s="7"/>
      <c r="B123" s="7" t="str">
        <f>IF(A123="","",IFERROR(VLOOKUP(A123,Empleados!A:B,2,FALSE),""))</f>
        <v/>
      </c>
      <c r="C123" s="7" t="str">
        <f>IF(A123="","",IFERROR(VLOOKUP(A123,Empleados!A:J,9,FALSE),""))</f>
        <v/>
      </c>
      <c r="D123" s="7" t="str">
        <f>IF(A123="","",IFERROR(VLOOKUP(A123,Empleados!A:I,8,FALSE),""))</f>
        <v/>
      </c>
      <c r="E123" s="7"/>
      <c r="F123" s="8"/>
      <c r="G123" s="8"/>
      <c r="H123" s="9" t="str">
        <f t="shared" si="9"/>
        <v/>
      </c>
      <c r="I123" s="7" t="str">
        <f t="shared" si="11"/>
        <v/>
      </c>
      <c r="J123" s="7"/>
      <c r="K123" s="7" t="str">
        <f t="shared" si="10"/>
        <v/>
      </c>
    </row>
    <row r="124" spans="1:11" x14ac:dyDescent="0.25">
      <c r="A124" s="7"/>
      <c r="B124" s="7" t="str">
        <f>IF(A124="","",IFERROR(VLOOKUP(A124,Empleados!A:B,2,FALSE),""))</f>
        <v/>
      </c>
      <c r="C124" s="7" t="str">
        <f>IF(A124="","",IFERROR(VLOOKUP(A124,Empleados!A:J,9,FALSE),""))</f>
        <v/>
      </c>
      <c r="D124" s="7" t="str">
        <f>IF(A124="","",IFERROR(VLOOKUP(A124,Empleados!A:I,8,FALSE),""))</f>
        <v/>
      </c>
      <c r="E124" s="7"/>
      <c r="F124" s="8"/>
      <c r="G124" s="8"/>
      <c r="H124" s="9" t="str">
        <f t="shared" si="9"/>
        <v/>
      </c>
      <c r="I124" s="7" t="str">
        <f t="shared" si="11"/>
        <v/>
      </c>
      <c r="J124" s="7"/>
      <c r="K124" s="7" t="str">
        <f t="shared" si="10"/>
        <v/>
      </c>
    </row>
    <row r="125" spans="1:11" x14ac:dyDescent="0.25">
      <c r="A125" s="7"/>
      <c r="B125" s="7" t="str">
        <f>IF(A125="","",IFERROR(VLOOKUP(A125,Empleados!A:B,2,FALSE),""))</f>
        <v/>
      </c>
      <c r="C125" s="7" t="str">
        <f>IF(A125="","",IFERROR(VLOOKUP(A125,Empleados!A:J,9,FALSE),""))</f>
        <v/>
      </c>
      <c r="D125" s="7" t="str">
        <f>IF(A125="","",IFERROR(VLOOKUP(A125,Empleados!A:I,8,FALSE),""))</f>
        <v/>
      </c>
      <c r="E125" s="7"/>
      <c r="F125" s="8"/>
      <c r="G125" s="8"/>
      <c r="H125" s="9" t="str">
        <f t="shared" si="9"/>
        <v/>
      </c>
      <c r="I125" s="7" t="str">
        <f t="shared" si="11"/>
        <v/>
      </c>
      <c r="J125" s="7"/>
      <c r="K125" s="7" t="str">
        <f t="shared" si="10"/>
        <v/>
      </c>
    </row>
    <row r="126" spans="1:11" x14ac:dyDescent="0.25">
      <c r="A126" s="7"/>
      <c r="B126" s="7" t="str">
        <f>IF(A126="","",IFERROR(VLOOKUP(A126,Empleados!A:B,2,FALSE),""))</f>
        <v/>
      </c>
      <c r="C126" s="7" t="str">
        <f>IF(A126="","",IFERROR(VLOOKUP(A126,Empleados!A:J,9,FALSE),""))</f>
        <v/>
      </c>
      <c r="D126" s="7" t="str">
        <f>IF(A126="","",IFERROR(VLOOKUP(A126,Empleados!A:I,8,FALSE),""))</f>
        <v/>
      </c>
      <c r="E126" s="7"/>
      <c r="F126" s="8"/>
      <c r="G126" s="8"/>
      <c r="H126" s="9" t="str">
        <f t="shared" si="9"/>
        <v/>
      </c>
      <c r="I126" s="7" t="str">
        <f t="shared" si="11"/>
        <v/>
      </c>
      <c r="J126" s="7"/>
      <c r="K126" s="7" t="str">
        <f t="shared" si="10"/>
        <v/>
      </c>
    </row>
    <row r="127" spans="1:11" x14ac:dyDescent="0.25">
      <c r="A127" s="7"/>
      <c r="B127" s="7" t="str">
        <f>IF(A127="","",IFERROR(VLOOKUP(A127,Empleados!A:B,2,FALSE),""))</f>
        <v/>
      </c>
      <c r="C127" s="7" t="str">
        <f>IF(A127="","",IFERROR(VLOOKUP(A127,Empleados!A:J,9,FALSE),""))</f>
        <v/>
      </c>
      <c r="D127" s="7" t="str">
        <f>IF(A127="","",IFERROR(VLOOKUP(A127,Empleados!A:I,8,FALSE),""))</f>
        <v/>
      </c>
      <c r="E127" s="7"/>
      <c r="F127" s="8"/>
      <c r="G127" s="8"/>
      <c r="H127" s="9" t="str">
        <f t="shared" si="9"/>
        <v/>
      </c>
      <c r="I127" s="7" t="str">
        <f t="shared" si="11"/>
        <v/>
      </c>
      <c r="J127" s="7"/>
      <c r="K127" s="7" t="str">
        <f t="shared" si="10"/>
        <v/>
      </c>
    </row>
    <row r="128" spans="1:11" x14ac:dyDescent="0.25">
      <c r="A128" s="7"/>
      <c r="B128" s="7" t="str">
        <f>IF(A128="","",IFERROR(VLOOKUP(A128,Empleados!A:B,2,FALSE),""))</f>
        <v/>
      </c>
      <c r="C128" s="7" t="str">
        <f>IF(A128="","",IFERROR(VLOOKUP(A128,Empleados!A:J,9,FALSE),""))</f>
        <v/>
      </c>
      <c r="D128" s="7" t="str">
        <f>IF(A128="","",IFERROR(VLOOKUP(A128,Empleados!A:I,8,FALSE),""))</f>
        <v/>
      </c>
      <c r="E128" s="7"/>
      <c r="F128" s="8"/>
      <c r="G128" s="8"/>
      <c r="H128" s="9" t="str">
        <f t="shared" si="9"/>
        <v/>
      </c>
      <c r="I128" s="7" t="str">
        <f t="shared" si="11"/>
        <v/>
      </c>
      <c r="J128" s="7"/>
      <c r="K128" s="7" t="str">
        <f t="shared" si="10"/>
        <v/>
      </c>
    </row>
    <row r="129" spans="1:11" x14ac:dyDescent="0.25">
      <c r="A129" s="7"/>
      <c r="B129" s="7" t="str">
        <f>IF(A129="","",IFERROR(VLOOKUP(A129,Empleados!A:B,2,FALSE),""))</f>
        <v/>
      </c>
      <c r="C129" s="7" t="str">
        <f>IF(A129="","",IFERROR(VLOOKUP(A129,Empleados!A:J,9,FALSE),""))</f>
        <v/>
      </c>
      <c r="D129" s="7" t="str">
        <f>IF(A129="","",IFERROR(VLOOKUP(A129,Empleados!A:I,8,FALSE),""))</f>
        <v/>
      </c>
      <c r="E129" s="7"/>
      <c r="F129" s="8"/>
      <c r="G129" s="8"/>
      <c r="H129" s="9" t="str">
        <f t="shared" si="9"/>
        <v/>
      </c>
      <c r="I129" s="7" t="str">
        <f t="shared" si="11"/>
        <v/>
      </c>
      <c r="J129" s="7"/>
      <c r="K129" s="7" t="str">
        <f t="shared" si="10"/>
        <v/>
      </c>
    </row>
    <row r="130" spans="1:11" x14ac:dyDescent="0.25">
      <c r="A130" s="7"/>
      <c r="B130" s="7" t="str">
        <f>IF(A130="","",IFERROR(VLOOKUP(A130,Empleados!A:B,2,FALSE),""))</f>
        <v/>
      </c>
      <c r="C130" s="7" t="str">
        <f>IF(A130="","",IFERROR(VLOOKUP(A130,Empleados!A:J,9,FALSE),""))</f>
        <v/>
      </c>
      <c r="D130" s="7" t="str">
        <f>IF(A130="","",IFERROR(VLOOKUP(A130,Empleados!A:I,8,FALSE),""))</f>
        <v/>
      </c>
      <c r="E130" s="7"/>
      <c r="F130" s="8"/>
      <c r="G130" s="8"/>
      <c r="H130" s="9" t="str">
        <f t="shared" ref="H130:H161" si="12">IF(OR(F130="",G130=""),"",G130-F130+1)</f>
        <v/>
      </c>
      <c r="I130" s="7" t="str">
        <f t="shared" si="11"/>
        <v/>
      </c>
      <c r="J130" s="7"/>
      <c r="K130" s="7" t="str">
        <f t="shared" ref="K130:K161" si="13">IF(A130="","",A130&amp;"|"&amp;TEXT(F130,"yyyymmdd")&amp;"|"&amp;TEXT(G130,"yyyymmdd"))</f>
        <v/>
      </c>
    </row>
    <row r="131" spans="1:11" x14ac:dyDescent="0.25">
      <c r="A131" s="7"/>
      <c r="B131" s="7" t="str">
        <f>IF(A131="","",IFERROR(VLOOKUP(A131,Empleados!A:B,2,FALSE),""))</f>
        <v/>
      </c>
      <c r="C131" s="7" t="str">
        <f>IF(A131="","",IFERROR(VLOOKUP(A131,Empleados!A:J,9,FALSE),""))</f>
        <v/>
      </c>
      <c r="D131" s="7" t="str">
        <f>IF(A131="","",IFERROR(VLOOKUP(A131,Empleados!A:I,8,FALSE),""))</f>
        <v/>
      </c>
      <c r="E131" s="7"/>
      <c r="F131" s="8"/>
      <c r="G131" s="8"/>
      <c r="H131" s="9" t="str">
        <f t="shared" si="12"/>
        <v/>
      </c>
      <c r="I131" s="7" t="str">
        <f t="shared" si="11"/>
        <v/>
      </c>
      <c r="J131" s="7"/>
      <c r="K131" s="7" t="str">
        <f t="shared" si="13"/>
        <v/>
      </c>
    </row>
    <row r="132" spans="1:11" x14ac:dyDescent="0.25">
      <c r="A132" s="7"/>
      <c r="B132" s="7" t="str">
        <f>IF(A132="","",IFERROR(VLOOKUP(A132,Empleados!A:B,2,FALSE),""))</f>
        <v/>
      </c>
      <c r="C132" s="7" t="str">
        <f>IF(A132="","",IFERROR(VLOOKUP(A132,Empleados!A:J,9,FALSE),""))</f>
        <v/>
      </c>
      <c r="D132" s="7" t="str">
        <f>IF(A132="","",IFERROR(VLOOKUP(A132,Empleados!A:I,8,FALSE),""))</f>
        <v/>
      </c>
      <c r="E132" s="7"/>
      <c r="F132" s="8"/>
      <c r="G132" s="8"/>
      <c r="H132" s="9" t="str">
        <f t="shared" si="12"/>
        <v/>
      </c>
      <c r="I132" s="7" t="str">
        <f t="shared" si="11"/>
        <v/>
      </c>
      <c r="J132" s="7"/>
      <c r="K132" s="7" t="str">
        <f t="shared" si="13"/>
        <v/>
      </c>
    </row>
    <row r="133" spans="1:11" x14ac:dyDescent="0.25">
      <c r="A133" s="7"/>
      <c r="B133" s="7" t="str">
        <f>IF(A133="","",IFERROR(VLOOKUP(A133,Empleados!A:B,2,FALSE),""))</f>
        <v/>
      </c>
      <c r="C133" s="7" t="str">
        <f>IF(A133="","",IFERROR(VLOOKUP(A133,Empleados!A:J,9,FALSE),""))</f>
        <v/>
      </c>
      <c r="D133" s="7" t="str">
        <f>IF(A133="","",IFERROR(VLOOKUP(A133,Empleados!A:I,8,FALSE),""))</f>
        <v/>
      </c>
      <c r="E133" s="7"/>
      <c r="F133" s="8"/>
      <c r="G133" s="8"/>
      <c r="H133" s="9" t="str">
        <f t="shared" si="12"/>
        <v/>
      </c>
      <c r="I133" s="7" t="str">
        <f t="shared" si="11"/>
        <v/>
      </c>
      <c r="J133" s="7"/>
      <c r="K133" s="7" t="str">
        <f t="shared" si="13"/>
        <v/>
      </c>
    </row>
    <row r="134" spans="1:11" x14ac:dyDescent="0.25">
      <c r="A134" s="7"/>
      <c r="B134" s="7" t="str">
        <f>IF(A134="","",IFERROR(VLOOKUP(A134,Empleados!A:B,2,FALSE),""))</f>
        <v/>
      </c>
      <c r="C134" s="7" t="str">
        <f>IF(A134="","",IFERROR(VLOOKUP(A134,Empleados!A:J,9,FALSE),""))</f>
        <v/>
      </c>
      <c r="D134" s="7" t="str">
        <f>IF(A134="","",IFERROR(VLOOKUP(A134,Empleados!A:I,8,FALSE),""))</f>
        <v/>
      </c>
      <c r="E134" s="7"/>
      <c r="F134" s="8"/>
      <c r="G134" s="8"/>
      <c r="H134" s="9" t="str">
        <f t="shared" si="12"/>
        <v/>
      </c>
      <c r="I134" s="7" t="str">
        <f t="shared" si="11"/>
        <v/>
      </c>
      <c r="J134" s="7"/>
      <c r="K134" s="7" t="str">
        <f t="shared" si="13"/>
        <v/>
      </c>
    </row>
    <row r="135" spans="1:11" x14ac:dyDescent="0.25">
      <c r="A135" s="7"/>
      <c r="B135" s="7" t="str">
        <f>IF(A135="","",IFERROR(VLOOKUP(A135,Empleados!A:B,2,FALSE),""))</f>
        <v/>
      </c>
      <c r="C135" s="7" t="str">
        <f>IF(A135="","",IFERROR(VLOOKUP(A135,Empleados!A:J,9,FALSE),""))</f>
        <v/>
      </c>
      <c r="D135" s="7" t="str">
        <f>IF(A135="","",IFERROR(VLOOKUP(A135,Empleados!A:I,8,FALSE),""))</f>
        <v/>
      </c>
      <c r="E135" s="7"/>
      <c r="F135" s="8"/>
      <c r="G135" s="8"/>
      <c r="H135" s="9" t="str">
        <f t="shared" si="12"/>
        <v/>
      </c>
      <c r="I135" s="7" t="str">
        <f t="shared" si="11"/>
        <v/>
      </c>
      <c r="J135" s="7"/>
      <c r="K135" s="7" t="str">
        <f t="shared" si="13"/>
        <v/>
      </c>
    </row>
    <row r="136" spans="1:11" x14ac:dyDescent="0.25">
      <c r="A136" s="7"/>
      <c r="B136" s="7" t="str">
        <f>IF(A136="","",IFERROR(VLOOKUP(A136,Empleados!A:B,2,FALSE),""))</f>
        <v/>
      </c>
      <c r="C136" s="7" t="str">
        <f>IF(A136="","",IFERROR(VLOOKUP(A136,Empleados!A:J,9,FALSE),""))</f>
        <v/>
      </c>
      <c r="D136" s="7" t="str">
        <f>IF(A136="","",IFERROR(VLOOKUP(A136,Empleados!A:I,8,FALSE),""))</f>
        <v/>
      </c>
      <c r="E136" s="7"/>
      <c r="F136" s="8"/>
      <c r="G136" s="8"/>
      <c r="H136" s="9" t="str">
        <f t="shared" si="12"/>
        <v/>
      </c>
      <c r="I136" s="7" t="str">
        <f t="shared" si="11"/>
        <v/>
      </c>
      <c r="J136" s="7"/>
      <c r="K136" s="7" t="str">
        <f t="shared" si="13"/>
        <v/>
      </c>
    </row>
    <row r="137" spans="1:11" x14ac:dyDescent="0.25">
      <c r="A137" s="7"/>
      <c r="B137" s="7" t="str">
        <f>IF(A137="","",IFERROR(VLOOKUP(A137,Empleados!A:B,2,FALSE),""))</f>
        <v/>
      </c>
      <c r="C137" s="7" t="str">
        <f>IF(A137="","",IFERROR(VLOOKUP(A137,Empleados!A:J,9,FALSE),""))</f>
        <v/>
      </c>
      <c r="D137" s="7" t="str">
        <f>IF(A137="","",IFERROR(VLOOKUP(A137,Empleados!A:I,8,FALSE),""))</f>
        <v/>
      </c>
      <c r="E137" s="7"/>
      <c r="F137" s="8"/>
      <c r="G137" s="8"/>
      <c r="H137" s="9" t="str">
        <f t="shared" si="12"/>
        <v/>
      </c>
      <c r="I137" s="7" t="str">
        <f t="shared" si="11"/>
        <v/>
      </c>
      <c r="J137" s="7"/>
      <c r="K137" s="7" t="str">
        <f t="shared" si="13"/>
        <v/>
      </c>
    </row>
    <row r="138" spans="1:11" x14ac:dyDescent="0.25">
      <c r="A138" s="7"/>
      <c r="B138" s="7" t="str">
        <f>IF(A138="","",IFERROR(VLOOKUP(A138,Empleados!A:B,2,FALSE),""))</f>
        <v/>
      </c>
      <c r="C138" s="7" t="str">
        <f>IF(A138="","",IFERROR(VLOOKUP(A138,Empleados!A:J,9,FALSE),""))</f>
        <v/>
      </c>
      <c r="D138" s="7" t="str">
        <f>IF(A138="","",IFERROR(VLOOKUP(A138,Empleados!A:I,8,FALSE),""))</f>
        <v/>
      </c>
      <c r="E138" s="7"/>
      <c r="F138" s="8"/>
      <c r="G138" s="8"/>
      <c r="H138" s="9" t="str">
        <f t="shared" si="12"/>
        <v/>
      </c>
      <c r="I138" s="7" t="str">
        <f t="shared" si="11"/>
        <v/>
      </c>
      <c r="J138" s="7"/>
      <c r="K138" s="7" t="str">
        <f t="shared" si="13"/>
        <v/>
      </c>
    </row>
    <row r="139" spans="1:11" x14ac:dyDescent="0.25">
      <c r="A139" s="7"/>
      <c r="B139" s="7" t="str">
        <f>IF(A139="","",IFERROR(VLOOKUP(A139,Empleados!A:B,2,FALSE),""))</f>
        <v/>
      </c>
      <c r="C139" s="7" t="str">
        <f>IF(A139="","",IFERROR(VLOOKUP(A139,Empleados!A:J,9,FALSE),""))</f>
        <v/>
      </c>
      <c r="D139" s="7" t="str">
        <f>IF(A139="","",IFERROR(VLOOKUP(A139,Empleados!A:I,8,FALSE),""))</f>
        <v/>
      </c>
      <c r="E139" s="7"/>
      <c r="F139" s="8"/>
      <c r="G139" s="8"/>
      <c r="H139" s="9" t="str">
        <f t="shared" si="12"/>
        <v/>
      </c>
      <c r="I139" s="7" t="str">
        <f t="shared" si="11"/>
        <v/>
      </c>
      <c r="J139" s="7"/>
      <c r="K139" s="7" t="str">
        <f t="shared" si="13"/>
        <v/>
      </c>
    </row>
    <row r="140" spans="1:11" x14ac:dyDescent="0.25">
      <c r="A140" s="7"/>
      <c r="B140" s="7" t="str">
        <f>IF(A140="","",IFERROR(VLOOKUP(A140,Empleados!A:B,2,FALSE),""))</f>
        <v/>
      </c>
      <c r="C140" s="7" t="str">
        <f>IF(A140="","",IFERROR(VLOOKUP(A140,Empleados!A:J,9,FALSE),""))</f>
        <v/>
      </c>
      <c r="D140" s="7" t="str">
        <f>IF(A140="","",IFERROR(VLOOKUP(A140,Empleados!A:I,8,FALSE),""))</f>
        <v/>
      </c>
      <c r="E140" s="7"/>
      <c r="F140" s="8"/>
      <c r="G140" s="8"/>
      <c r="H140" s="9" t="str">
        <f t="shared" si="12"/>
        <v/>
      </c>
      <c r="I140" s="7" t="str">
        <f t="shared" si="11"/>
        <v/>
      </c>
      <c r="J140" s="7"/>
      <c r="K140" s="7" t="str">
        <f t="shared" si="13"/>
        <v/>
      </c>
    </row>
    <row r="141" spans="1:11" x14ac:dyDescent="0.25">
      <c r="A141" s="7"/>
      <c r="B141" s="7" t="str">
        <f>IF(A141="","",IFERROR(VLOOKUP(A141,Empleados!A:B,2,FALSE),""))</f>
        <v/>
      </c>
      <c r="C141" s="7" t="str">
        <f>IF(A141="","",IFERROR(VLOOKUP(A141,Empleados!A:J,9,FALSE),""))</f>
        <v/>
      </c>
      <c r="D141" s="7" t="str">
        <f>IF(A141="","",IFERROR(VLOOKUP(A141,Empleados!A:I,8,FALSE),""))</f>
        <v/>
      </c>
      <c r="E141" s="7"/>
      <c r="F141" s="8"/>
      <c r="G141" s="8"/>
      <c r="H141" s="9" t="str">
        <f t="shared" si="12"/>
        <v/>
      </c>
      <c r="I141" s="7" t="str">
        <f t="shared" si="11"/>
        <v/>
      </c>
      <c r="J141" s="7"/>
      <c r="K141" s="7" t="str">
        <f t="shared" si="13"/>
        <v/>
      </c>
    </row>
    <row r="142" spans="1:11" x14ac:dyDescent="0.25">
      <c r="A142" s="7"/>
      <c r="B142" s="7" t="str">
        <f>IF(A142="","",IFERROR(VLOOKUP(A142,Empleados!A:B,2,FALSE),""))</f>
        <v/>
      </c>
      <c r="C142" s="7" t="str">
        <f>IF(A142="","",IFERROR(VLOOKUP(A142,Empleados!A:J,9,FALSE),""))</f>
        <v/>
      </c>
      <c r="D142" s="7" t="str">
        <f>IF(A142="","",IFERROR(VLOOKUP(A142,Empleados!A:I,8,FALSE),""))</f>
        <v/>
      </c>
      <c r="E142" s="7"/>
      <c r="F142" s="8"/>
      <c r="G142" s="8"/>
      <c r="H142" s="9" t="str">
        <f t="shared" si="12"/>
        <v/>
      </c>
      <c r="I142" s="7" t="str">
        <f t="shared" si="11"/>
        <v/>
      </c>
      <c r="J142" s="7"/>
      <c r="K142" s="7" t="str">
        <f t="shared" si="13"/>
        <v/>
      </c>
    </row>
    <row r="143" spans="1:11" x14ac:dyDescent="0.25">
      <c r="A143" s="7"/>
      <c r="B143" s="7" t="str">
        <f>IF(A143="","",IFERROR(VLOOKUP(A143,Empleados!A:B,2,FALSE),""))</f>
        <v/>
      </c>
      <c r="C143" s="7" t="str">
        <f>IF(A143="","",IFERROR(VLOOKUP(A143,Empleados!A:J,9,FALSE),""))</f>
        <v/>
      </c>
      <c r="D143" s="7" t="str">
        <f>IF(A143="","",IFERROR(VLOOKUP(A143,Empleados!A:I,8,FALSE),""))</f>
        <v/>
      </c>
      <c r="E143" s="7"/>
      <c r="F143" s="8"/>
      <c r="G143" s="8"/>
      <c r="H143" s="9" t="str">
        <f t="shared" si="12"/>
        <v/>
      </c>
      <c r="I143" s="7" t="str">
        <f t="shared" si="11"/>
        <v/>
      </c>
      <c r="J143" s="7"/>
      <c r="K143" s="7" t="str">
        <f t="shared" si="13"/>
        <v/>
      </c>
    </row>
    <row r="144" spans="1:11" x14ac:dyDescent="0.25">
      <c r="A144" s="7"/>
      <c r="B144" s="7" t="str">
        <f>IF(A144="","",IFERROR(VLOOKUP(A144,Empleados!A:B,2,FALSE),""))</f>
        <v/>
      </c>
      <c r="C144" s="7" t="str">
        <f>IF(A144="","",IFERROR(VLOOKUP(A144,Empleados!A:J,9,FALSE),""))</f>
        <v/>
      </c>
      <c r="D144" s="7" t="str">
        <f>IF(A144="","",IFERROR(VLOOKUP(A144,Empleados!A:I,8,FALSE),""))</f>
        <v/>
      </c>
      <c r="E144" s="7"/>
      <c r="F144" s="8"/>
      <c r="G144" s="8"/>
      <c r="H144" s="9" t="str">
        <f t="shared" si="12"/>
        <v/>
      </c>
      <c r="I144" s="7" t="str">
        <f t="shared" si="11"/>
        <v/>
      </c>
      <c r="J144" s="7"/>
      <c r="K144" s="7" t="str">
        <f t="shared" si="13"/>
        <v/>
      </c>
    </row>
    <row r="145" spans="1:11" x14ac:dyDescent="0.25">
      <c r="A145" s="7"/>
      <c r="B145" s="7" t="str">
        <f>IF(A145="","",IFERROR(VLOOKUP(A145,Empleados!A:B,2,FALSE),""))</f>
        <v/>
      </c>
      <c r="C145" s="7" t="str">
        <f>IF(A145="","",IFERROR(VLOOKUP(A145,Empleados!A:J,9,FALSE),""))</f>
        <v/>
      </c>
      <c r="D145" s="7" t="str">
        <f>IF(A145="","",IFERROR(VLOOKUP(A145,Empleados!A:I,8,FALSE),""))</f>
        <v/>
      </c>
      <c r="E145" s="7"/>
      <c r="F145" s="8"/>
      <c r="G145" s="8"/>
      <c r="H145" s="9" t="str">
        <f t="shared" si="12"/>
        <v/>
      </c>
      <c r="I145" s="7" t="str">
        <f t="shared" si="11"/>
        <v/>
      </c>
      <c r="J145" s="7"/>
      <c r="K145" s="7" t="str">
        <f t="shared" si="13"/>
        <v/>
      </c>
    </row>
    <row r="146" spans="1:11" x14ac:dyDescent="0.25">
      <c r="A146" s="7"/>
      <c r="B146" s="7" t="str">
        <f>IF(A146="","",IFERROR(VLOOKUP(A146,Empleados!A:B,2,FALSE),""))</f>
        <v/>
      </c>
      <c r="C146" s="7" t="str">
        <f>IF(A146="","",IFERROR(VLOOKUP(A146,Empleados!A:J,9,FALSE),""))</f>
        <v/>
      </c>
      <c r="D146" s="7" t="str">
        <f>IF(A146="","",IFERROR(VLOOKUP(A146,Empleados!A:I,8,FALSE),""))</f>
        <v/>
      </c>
      <c r="E146" s="7"/>
      <c r="F146" s="8"/>
      <c r="G146" s="8"/>
      <c r="H146" s="9" t="str">
        <f t="shared" si="12"/>
        <v/>
      </c>
      <c r="I146" s="7" t="str">
        <f t="shared" si="11"/>
        <v/>
      </c>
      <c r="J146" s="7"/>
      <c r="K146" s="7" t="str">
        <f t="shared" si="13"/>
        <v/>
      </c>
    </row>
    <row r="147" spans="1:11" x14ac:dyDescent="0.25">
      <c r="A147" s="7"/>
      <c r="B147" s="7" t="str">
        <f>IF(A147="","",IFERROR(VLOOKUP(A147,Empleados!A:B,2,FALSE),""))</f>
        <v/>
      </c>
      <c r="C147" s="7" t="str">
        <f>IF(A147="","",IFERROR(VLOOKUP(A147,Empleados!A:J,9,FALSE),""))</f>
        <v/>
      </c>
      <c r="D147" s="7" t="str">
        <f>IF(A147="","",IFERROR(VLOOKUP(A147,Empleados!A:I,8,FALSE),""))</f>
        <v/>
      </c>
      <c r="E147" s="7"/>
      <c r="F147" s="8"/>
      <c r="G147" s="8"/>
      <c r="H147" s="9" t="str">
        <f t="shared" si="12"/>
        <v/>
      </c>
      <c r="I147" s="7" t="str">
        <f t="shared" si="11"/>
        <v/>
      </c>
      <c r="J147" s="7"/>
      <c r="K147" s="7" t="str">
        <f t="shared" si="13"/>
        <v/>
      </c>
    </row>
    <row r="148" spans="1:11" x14ac:dyDescent="0.25">
      <c r="A148" s="7"/>
      <c r="B148" s="7" t="str">
        <f>IF(A148="","",IFERROR(VLOOKUP(A148,Empleados!A:B,2,FALSE),""))</f>
        <v/>
      </c>
      <c r="C148" s="7" t="str">
        <f>IF(A148="","",IFERROR(VLOOKUP(A148,Empleados!A:J,9,FALSE),""))</f>
        <v/>
      </c>
      <c r="D148" s="7" t="str">
        <f>IF(A148="","",IFERROR(VLOOKUP(A148,Empleados!A:I,8,FALSE),""))</f>
        <v/>
      </c>
      <c r="E148" s="7"/>
      <c r="F148" s="8"/>
      <c r="G148" s="8"/>
      <c r="H148" s="9" t="str">
        <f t="shared" si="12"/>
        <v/>
      </c>
      <c r="I148" s="7" t="str">
        <f t="shared" si="11"/>
        <v/>
      </c>
      <c r="J148" s="7"/>
      <c r="K148" s="7" t="str">
        <f t="shared" si="13"/>
        <v/>
      </c>
    </row>
    <row r="149" spans="1:11" x14ac:dyDescent="0.25">
      <c r="A149" s="7"/>
      <c r="B149" s="7" t="str">
        <f>IF(A149="","",IFERROR(VLOOKUP(A149,Empleados!A:B,2,FALSE),""))</f>
        <v/>
      </c>
      <c r="C149" s="7" t="str">
        <f>IF(A149="","",IFERROR(VLOOKUP(A149,Empleados!A:J,9,FALSE),""))</f>
        <v/>
      </c>
      <c r="D149" s="7" t="str">
        <f>IF(A149="","",IFERROR(VLOOKUP(A149,Empleados!A:I,8,FALSE),""))</f>
        <v/>
      </c>
      <c r="E149" s="7"/>
      <c r="F149" s="8"/>
      <c r="G149" s="8"/>
      <c r="H149" s="9" t="str">
        <f t="shared" si="12"/>
        <v/>
      </c>
      <c r="I149" s="7" t="str">
        <f t="shared" si="11"/>
        <v/>
      </c>
      <c r="J149" s="7"/>
      <c r="K149" s="7" t="str">
        <f t="shared" si="13"/>
        <v/>
      </c>
    </row>
    <row r="150" spans="1:11" x14ac:dyDescent="0.25">
      <c r="A150" s="7"/>
      <c r="B150" s="7" t="str">
        <f>IF(A150="","",IFERROR(VLOOKUP(A150,Empleados!A:B,2,FALSE),""))</f>
        <v/>
      </c>
      <c r="C150" s="7" t="str">
        <f>IF(A150="","",IFERROR(VLOOKUP(A150,Empleados!A:J,9,FALSE),""))</f>
        <v/>
      </c>
      <c r="D150" s="7" t="str">
        <f>IF(A150="","",IFERROR(VLOOKUP(A150,Empleados!A:I,8,FALSE),""))</f>
        <v/>
      </c>
      <c r="E150" s="7"/>
      <c r="F150" s="8"/>
      <c r="G150" s="8"/>
      <c r="H150" s="9" t="str">
        <f t="shared" si="12"/>
        <v/>
      </c>
      <c r="I150" s="7" t="str">
        <f t="shared" si="11"/>
        <v/>
      </c>
      <c r="J150" s="7"/>
      <c r="K150" s="7" t="str">
        <f t="shared" si="13"/>
        <v/>
      </c>
    </row>
    <row r="151" spans="1:11" x14ac:dyDescent="0.25">
      <c r="A151" s="7"/>
      <c r="B151" s="7" t="str">
        <f>IF(A151="","",IFERROR(VLOOKUP(A151,Empleados!A:B,2,FALSE),""))</f>
        <v/>
      </c>
      <c r="C151" s="7" t="str">
        <f>IF(A151="","",IFERROR(VLOOKUP(A151,Empleados!A:J,9,FALSE),""))</f>
        <v/>
      </c>
      <c r="D151" s="7" t="str">
        <f>IF(A151="","",IFERROR(VLOOKUP(A151,Empleados!A:I,8,FALSE),""))</f>
        <v/>
      </c>
      <c r="E151" s="7"/>
      <c r="F151" s="8"/>
      <c r="G151" s="8"/>
      <c r="H151" s="9" t="str">
        <f t="shared" si="12"/>
        <v/>
      </c>
      <c r="I151" s="7" t="str">
        <f t="shared" si="11"/>
        <v/>
      </c>
      <c r="J151" s="7"/>
      <c r="K151" s="7" t="str">
        <f t="shared" si="13"/>
        <v/>
      </c>
    </row>
    <row r="152" spans="1:11" x14ac:dyDescent="0.25">
      <c r="A152" s="7"/>
      <c r="B152" s="7" t="str">
        <f>IF(A152="","",IFERROR(VLOOKUP(A152,Empleados!A:B,2,FALSE),""))</f>
        <v/>
      </c>
      <c r="C152" s="7" t="str">
        <f>IF(A152="","",IFERROR(VLOOKUP(A152,Empleados!A:J,9,FALSE),""))</f>
        <v/>
      </c>
      <c r="D152" s="7" t="str">
        <f>IF(A152="","",IFERROR(VLOOKUP(A152,Empleados!A:I,8,FALSE),""))</f>
        <v/>
      </c>
      <c r="E152" s="7"/>
      <c r="F152" s="8"/>
      <c r="G152" s="8"/>
      <c r="H152" s="9" t="str">
        <f t="shared" si="12"/>
        <v/>
      </c>
      <c r="I152" s="7" t="str">
        <f t="shared" ref="I152:I183" si="14">IF(A152="","","PENDIENTE")</f>
        <v/>
      </c>
      <c r="J152" s="7"/>
      <c r="K152" s="7" t="str">
        <f t="shared" si="13"/>
        <v/>
      </c>
    </row>
    <row r="153" spans="1:11" x14ac:dyDescent="0.25">
      <c r="A153" s="7"/>
      <c r="B153" s="7" t="str">
        <f>IF(A153="","",IFERROR(VLOOKUP(A153,Empleados!A:B,2,FALSE),""))</f>
        <v/>
      </c>
      <c r="C153" s="7" t="str">
        <f>IF(A153="","",IFERROR(VLOOKUP(A153,Empleados!A:J,9,FALSE),""))</f>
        <v/>
      </c>
      <c r="D153" s="7" t="str">
        <f>IF(A153="","",IFERROR(VLOOKUP(A153,Empleados!A:I,8,FALSE),""))</f>
        <v/>
      </c>
      <c r="E153" s="7"/>
      <c r="F153" s="8"/>
      <c r="G153" s="8"/>
      <c r="H153" s="9" t="str">
        <f t="shared" si="12"/>
        <v/>
      </c>
      <c r="I153" s="7" t="str">
        <f t="shared" si="14"/>
        <v/>
      </c>
      <c r="J153" s="7"/>
      <c r="K153" s="7" t="str">
        <f t="shared" si="13"/>
        <v/>
      </c>
    </row>
    <row r="154" spans="1:11" x14ac:dyDescent="0.25">
      <c r="A154" s="7"/>
      <c r="B154" s="7" t="str">
        <f>IF(A154="","",IFERROR(VLOOKUP(A154,Empleados!A:B,2,FALSE),""))</f>
        <v/>
      </c>
      <c r="C154" s="7" t="str">
        <f>IF(A154="","",IFERROR(VLOOKUP(A154,Empleados!A:J,9,FALSE),""))</f>
        <v/>
      </c>
      <c r="D154" s="7" t="str">
        <f>IF(A154="","",IFERROR(VLOOKUP(A154,Empleados!A:I,8,FALSE),""))</f>
        <v/>
      </c>
      <c r="E154" s="7"/>
      <c r="F154" s="8"/>
      <c r="G154" s="8"/>
      <c r="H154" s="9" t="str">
        <f t="shared" si="12"/>
        <v/>
      </c>
      <c r="I154" s="7" t="str">
        <f t="shared" si="14"/>
        <v/>
      </c>
      <c r="J154" s="7"/>
      <c r="K154" s="7" t="str">
        <f t="shared" si="13"/>
        <v/>
      </c>
    </row>
    <row r="155" spans="1:11" x14ac:dyDescent="0.25">
      <c r="A155" s="7"/>
      <c r="B155" s="7" t="str">
        <f>IF(A155="","",IFERROR(VLOOKUP(A155,Empleados!A:B,2,FALSE),""))</f>
        <v/>
      </c>
      <c r="C155" s="7" t="str">
        <f>IF(A155="","",IFERROR(VLOOKUP(A155,Empleados!A:J,9,FALSE),""))</f>
        <v/>
      </c>
      <c r="D155" s="7" t="str">
        <f>IF(A155="","",IFERROR(VLOOKUP(A155,Empleados!A:I,8,FALSE),""))</f>
        <v/>
      </c>
      <c r="E155" s="7"/>
      <c r="F155" s="8"/>
      <c r="G155" s="8"/>
      <c r="H155" s="9" t="str">
        <f t="shared" si="12"/>
        <v/>
      </c>
      <c r="I155" s="7" t="str">
        <f t="shared" si="14"/>
        <v/>
      </c>
      <c r="J155" s="7"/>
      <c r="K155" s="7" t="str">
        <f t="shared" si="13"/>
        <v/>
      </c>
    </row>
    <row r="156" spans="1:11" x14ac:dyDescent="0.25">
      <c r="A156" s="7"/>
      <c r="B156" s="7" t="str">
        <f>IF(A156="","",IFERROR(VLOOKUP(A156,Empleados!A:B,2,FALSE),""))</f>
        <v/>
      </c>
      <c r="C156" s="7" t="str">
        <f>IF(A156="","",IFERROR(VLOOKUP(A156,Empleados!A:J,9,FALSE),""))</f>
        <v/>
      </c>
      <c r="D156" s="7" t="str">
        <f>IF(A156="","",IFERROR(VLOOKUP(A156,Empleados!A:I,8,FALSE),""))</f>
        <v/>
      </c>
      <c r="E156" s="7"/>
      <c r="F156" s="8"/>
      <c r="G156" s="8"/>
      <c r="H156" s="9" t="str">
        <f t="shared" si="12"/>
        <v/>
      </c>
      <c r="I156" s="7" t="str">
        <f t="shared" si="14"/>
        <v/>
      </c>
      <c r="J156" s="7"/>
      <c r="K156" s="7" t="str">
        <f t="shared" si="13"/>
        <v/>
      </c>
    </row>
    <row r="157" spans="1:11" x14ac:dyDescent="0.25">
      <c r="A157" s="7"/>
      <c r="B157" s="7" t="str">
        <f>IF(A157="","",IFERROR(VLOOKUP(A157,Empleados!A:B,2,FALSE),""))</f>
        <v/>
      </c>
      <c r="C157" s="7" t="str">
        <f>IF(A157="","",IFERROR(VLOOKUP(A157,Empleados!A:J,9,FALSE),""))</f>
        <v/>
      </c>
      <c r="D157" s="7" t="str">
        <f>IF(A157="","",IFERROR(VLOOKUP(A157,Empleados!A:I,8,FALSE),""))</f>
        <v/>
      </c>
      <c r="E157" s="7"/>
      <c r="F157" s="8"/>
      <c r="G157" s="8"/>
      <c r="H157" s="9" t="str">
        <f t="shared" si="12"/>
        <v/>
      </c>
      <c r="I157" s="7" t="str">
        <f t="shared" si="14"/>
        <v/>
      </c>
      <c r="J157" s="7"/>
      <c r="K157" s="7" t="str">
        <f t="shared" si="13"/>
        <v/>
      </c>
    </row>
    <row r="158" spans="1:11" x14ac:dyDescent="0.25">
      <c r="A158" s="7"/>
      <c r="B158" s="7" t="str">
        <f>IF(A158="","",IFERROR(VLOOKUP(A158,Empleados!A:B,2,FALSE),""))</f>
        <v/>
      </c>
      <c r="C158" s="7" t="str">
        <f>IF(A158="","",IFERROR(VLOOKUP(A158,Empleados!A:J,9,FALSE),""))</f>
        <v/>
      </c>
      <c r="D158" s="7" t="str">
        <f>IF(A158="","",IFERROR(VLOOKUP(A158,Empleados!A:I,8,FALSE),""))</f>
        <v/>
      </c>
      <c r="E158" s="7"/>
      <c r="F158" s="8"/>
      <c r="G158" s="8"/>
      <c r="H158" s="9" t="str">
        <f t="shared" si="12"/>
        <v/>
      </c>
      <c r="I158" s="7" t="str">
        <f t="shared" si="14"/>
        <v/>
      </c>
      <c r="J158" s="7"/>
      <c r="K158" s="7" t="str">
        <f t="shared" si="13"/>
        <v/>
      </c>
    </row>
    <row r="159" spans="1:11" x14ac:dyDescent="0.25">
      <c r="A159" s="7"/>
      <c r="B159" s="7" t="str">
        <f>IF(A159="","",IFERROR(VLOOKUP(A159,Empleados!A:B,2,FALSE),""))</f>
        <v/>
      </c>
      <c r="C159" s="7" t="str">
        <f>IF(A159="","",IFERROR(VLOOKUP(A159,Empleados!A:J,9,FALSE),""))</f>
        <v/>
      </c>
      <c r="D159" s="7" t="str">
        <f>IF(A159="","",IFERROR(VLOOKUP(A159,Empleados!A:I,8,FALSE),""))</f>
        <v/>
      </c>
      <c r="E159" s="7"/>
      <c r="F159" s="8"/>
      <c r="G159" s="8"/>
      <c r="H159" s="9" t="str">
        <f t="shared" si="12"/>
        <v/>
      </c>
      <c r="I159" s="7" t="str">
        <f t="shared" si="14"/>
        <v/>
      </c>
      <c r="J159" s="7"/>
      <c r="K159" s="7" t="str">
        <f t="shared" si="13"/>
        <v/>
      </c>
    </row>
    <row r="160" spans="1:11" x14ac:dyDescent="0.25">
      <c r="A160" s="7"/>
      <c r="B160" s="7" t="str">
        <f>IF(A160="","",IFERROR(VLOOKUP(A160,Empleados!A:B,2,FALSE),""))</f>
        <v/>
      </c>
      <c r="C160" s="7" t="str">
        <f>IF(A160="","",IFERROR(VLOOKUP(A160,Empleados!A:J,9,FALSE),""))</f>
        <v/>
      </c>
      <c r="D160" s="7" t="str">
        <f>IF(A160="","",IFERROR(VLOOKUP(A160,Empleados!A:I,8,FALSE),""))</f>
        <v/>
      </c>
      <c r="E160" s="7"/>
      <c r="F160" s="8"/>
      <c r="G160" s="8"/>
      <c r="H160" s="9" t="str">
        <f t="shared" si="12"/>
        <v/>
      </c>
      <c r="I160" s="7" t="str">
        <f t="shared" si="14"/>
        <v/>
      </c>
      <c r="J160" s="7"/>
      <c r="K160" s="7" t="str">
        <f t="shared" si="13"/>
        <v/>
      </c>
    </row>
    <row r="161" spans="1:11" x14ac:dyDescent="0.25">
      <c r="A161" s="7"/>
      <c r="B161" s="7" t="str">
        <f>IF(A161="","",IFERROR(VLOOKUP(A161,Empleados!A:B,2,FALSE),""))</f>
        <v/>
      </c>
      <c r="C161" s="7" t="str">
        <f>IF(A161="","",IFERROR(VLOOKUP(A161,Empleados!A:J,9,FALSE),""))</f>
        <v/>
      </c>
      <c r="D161" s="7" t="str">
        <f>IF(A161="","",IFERROR(VLOOKUP(A161,Empleados!A:I,8,FALSE),""))</f>
        <v/>
      </c>
      <c r="E161" s="7"/>
      <c r="F161" s="8"/>
      <c r="G161" s="8"/>
      <c r="H161" s="9" t="str">
        <f t="shared" si="12"/>
        <v/>
      </c>
      <c r="I161" s="7" t="str">
        <f t="shared" si="14"/>
        <v/>
      </c>
      <c r="J161" s="7"/>
      <c r="K161" s="7" t="str">
        <f t="shared" si="13"/>
        <v/>
      </c>
    </row>
    <row r="162" spans="1:11" x14ac:dyDescent="0.25">
      <c r="A162" s="7"/>
      <c r="B162" s="7" t="str">
        <f>IF(A162="","",IFERROR(VLOOKUP(A162,Empleados!A:B,2,FALSE),""))</f>
        <v/>
      </c>
      <c r="C162" s="7" t="str">
        <f>IF(A162="","",IFERROR(VLOOKUP(A162,Empleados!A:J,9,FALSE),""))</f>
        <v/>
      </c>
      <c r="D162" s="7" t="str">
        <f>IF(A162="","",IFERROR(VLOOKUP(A162,Empleados!A:I,8,FALSE),""))</f>
        <v/>
      </c>
      <c r="E162" s="7"/>
      <c r="F162" s="8"/>
      <c r="G162" s="8"/>
      <c r="H162" s="9" t="str">
        <f t="shared" ref="H162:H193" si="15">IF(OR(F162="",G162=""),"",G162-F162+1)</f>
        <v/>
      </c>
      <c r="I162" s="7" t="str">
        <f t="shared" si="14"/>
        <v/>
      </c>
      <c r="J162" s="7"/>
      <c r="K162" s="7" t="str">
        <f t="shared" ref="K162:K197" si="16">IF(A162="","",A162&amp;"|"&amp;TEXT(F162,"yyyymmdd")&amp;"|"&amp;TEXT(G162,"yyyymmdd"))</f>
        <v/>
      </c>
    </row>
    <row r="163" spans="1:11" x14ac:dyDescent="0.25">
      <c r="A163" s="7"/>
      <c r="B163" s="7" t="str">
        <f>IF(A163="","",IFERROR(VLOOKUP(A163,Empleados!A:B,2,FALSE),""))</f>
        <v/>
      </c>
      <c r="C163" s="7" t="str">
        <f>IF(A163="","",IFERROR(VLOOKUP(A163,Empleados!A:J,9,FALSE),""))</f>
        <v/>
      </c>
      <c r="D163" s="7" t="str">
        <f>IF(A163="","",IFERROR(VLOOKUP(A163,Empleados!A:I,8,FALSE),""))</f>
        <v/>
      </c>
      <c r="E163" s="7"/>
      <c r="F163" s="8"/>
      <c r="G163" s="8"/>
      <c r="H163" s="9" t="str">
        <f t="shared" si="15"/>
        <v/>
      </c>
      <c r="I163" s="7" t="str">
        <f t="shared" si="14"/>
        <v/>
      </c>
      <c r="J163" s="7"/>
      <c r="K163" s="7" t="str">
        <f t="shared" si="16"/>
        <v/>
      </c>
    </row>
    <row r="164" spans="1:11" x14ac:dyDescent="0.25">
      <c r="A164" s="7"/>
      <c r="B164" s="7" t="str">
        <f>IF(A164="","",IFERROR(VLOOKUP(A164,Empleados!A:B,2,FALSE),""))</f>
        <v/>
      </c>
      <c r="C164" s="7" t="str">
        <f>IF(A164="","",IFERROR(VLOOKUP(A164,Empleados!A:J,9,FALSE),""))</f>
        <v/>
      </c>
      <c r="D164" s="7" t="str">
        <f>IF(A164="","",IFERROR(VLOOKUP(A164,Empleados!A:I,8,FALSE),""))</f>
        <v/>
      </c>
      <c r="E164" s="7"/>
      <c r="F164" s="8"/>
      <c r="G164" s="8"/>
      <c r="H164" s="9" t="str">
        <f t="shared" si="15"/>
        <v/>
      </c>
      <c r="I164" s="7" t="str">
        <f t="shared" si="14"/>
        <v/>
      </c>
      <c r="J164" s="7"/>
      <c r="K164" s="7" t="str">
        <f t="shared" si="16"/>
        <v/>
      </c>
    </row>
    <row r="165" spans="1:11" x14ac:dyDescent="0.25">
      <c r="A165" s="7"/>
      <c r="B165" s="7" t="str">
        <f>IF(A165="","",IFERROR(VLOOKUP(A165,Empleados!A:B,2,FALSE),""))</f>
        <v/>
      </c>
      <c r="C165" s="7" t="str">
        <f>IF(A165="","",IFERROR(VLOOKUP(A165,Empleados!A:J,9,FALSE),""))</f>
        <v/>
      </c>
      <c r="D165" s="7" t="str">
        <f>IF(A165="","",IFERROR(VLOOKUP(A165,Empleados!A:I,8,FALSE),""))</f>
        <v/>
      </c>
      <c r="E165" s="7"/>
      <c r="F165" s="8"/>
      <c r="G165" s="8"/>
      <c r="H165" s="9" t="str">
        <f t="shared" si="15"/>
        <v/>
      </c>
      <c r="I165" s="7" t="str">
        <f t="shared" si="14"/>
        <v/>
      </c>
      <c r="J165" s="7"/>
      <c r="K165" s="7" t="str">
        <f t="shared" si="16"/>
        <v/>
      </c>
    </row>
    <row r="166" spans="1:11" x14ac:dyDescent="0.25">
      <c r="A166" s="7"/>
      <c r="B166" s="7" t="str">
        <f>IF(A166="","",IFERROR(VLOOKUP(A166,Empleados!A:B,2,FALSE),""))</f>
        <v/>
      </c>
      <c r="C166" s="7" t="str">
        <f>IF(A166="","",IFERROR(VLOOKUP(A166,Empleados!A:J,9,FALSE),""))</f>
        <v/>
      </c>
      <c r="D166" s="7" t="str">
        <f>IF(A166="","",IFERROR(VLOOKUP(A166,Empleados!A:I,8,FALSE),""))</f>
        <v/>
      </c>
      <c r="E166" s="7"/>
      <c r="F166" s="8"/>
      <c r="G166" s="8"/>
      <c r="H166" s="9" t="str">
        <f t="shared" si="15"/>
        <v/>
      </c>
      <c r="I166" s="7" t="str">
        <f t="shared" si="14"/>
        <v/>
      </c>
      <c r="J166" s="7"/>
      <c r="K166" s="7" t="str">
        <f t="shared" si="16"/>
        <v/>
      </c>
    </row>
    <row r="167" spans="1:11" x14ac:dyDescent="0.25">
      <c r="A167" s="7"/>
      <c r="B167" s="7" t="str">
        <f>IF(A167="","",IFERROR(VLOOKUP(A167,Empleados!A:B,2,FALSE),""))</f>
        <v/>
      </c>
      <c r="C167" s="7" t="str">
        <f>IF(A167="","",IFERROR(VLOOKUP(A167,Empleados!A:J,9,FALSE),""))</f>
        <v/>
      </c>
      <c r="D167" s="7" t="str">
        <f>IF(A167="","",IFERROR(VLOOKUP(A167,Empleados!A:I,8,FALSE),""))</f>
        <v/>
      </c>
      <c r="E167" s="7"/>
      <c r="F167" s="8"/>
      <c r="G167" s="8"/>
      <c r="H167" s="9" t="str">
        <f t="shared" si="15"/>
        <v/>
      </c>
      <c r="I167" s="7" t="str">
        <f t="shared" si="14"/>
        <v/>
      </c>
      <c r="J167" s="7"/>
      <c r="K167" s="7" t="str">
        <f t="shared" si="16"/>
        <v/>
      </c>
    </row>
    <row r="168" spans="1:11" x14ac:dyDescent="0.25">
      <c r="A168" s="7"/>
      <c r="B168" s="7" t="str">
        <f>IF(A168="","",IFERROR(VLOOKUP(A168,Empleados!A:B,2,FALSE),""))</f>
        <v/>
      </c>
      <c r="C168" s="7" t="str">
        <f>IF(A168="","",IFERROR(VLOOKUP(A168,Empleados!A:J,9,FALSE),""))</f>
        <v/>
      </c>
      <c r="D168" s="7" t="str">
        <f>IF(A168="","",IFERROR(VLOOKUP(A168,Empleados!A:I,8,FALSE),""))</f>
        <v/>
      </c>
      <c r="E168" s="7"/>
      <c r="F168" s="8"/>
      <c r="G168" s="8"/>
      <c r="H168" s="9" t="str">
        <f t="shared" si="15"/>
        <v/>
      </c>
      <c r="I168" s="7" t="str">
        <f t="shared" si="14"/>
        <v/>
      </c>
      <c r="J168" s="7"/>
      <c r="K168" s="7" t="str">
        <f t="shared" si="16"/>
        <v/>
      </c>
    </row>
    <row r="169" spans="1:11" x14ac:dyDescent="0.25">
      <c r="A169" s="7"/>
      <c r="B169" s="7" t="str">
        <f>IF(A169="","",IFERROR(VLOOKUP(A169,Empleados!A:B,2,FALSE),""))</f>
        <v/>
      </c>
      <c r="C169" s="7" t="str">
        <f>IF(A169="","",IFERROR(VLOOKUP(A169,Empleados!A:J,9,FALSE),""))</f>
        <v/>
      </c>
      <c r="D169" s="7" t="str">
        <f>IF(A169="","",IFERROR(VLOOKUP(A169,Empleados!A:I,8,FALSE),""))</f>
        <v/>
      </c>
      <c r="E169" s="7"/>
      <c r="F169" s="8"/>
      <c r="G169" s="8"/>
      <c r="H169" s="9" t="str">
        <f t="shared" si="15"/>
        <v/>
      </c>
      <c r="I169" s="7" t="str">
        <f t="shared" si="14"/>
        <v/>
      </c>
      <c r="J169" s="7"/>
      <c r="K169" s="7" t="str">
        <f t="shared" si="16"/>
        <v/>
      </c>
    </row>
    <row r="170" spans="1:11" x14ac:dyDescent="0.25">
      <c r="A170" s="7"/>
      <c r="B170" s="7" t="str">
        <f>IF(A170="","",IFERROR(VLOOKUP(A170,Empleados!A:B,2,FALSE),""))</f>
        <v/>
      </c>
      <c r="C170" s="7" t="str">
        <f>IF(A170="","",IFERROR(VLOOKUP(A170,Empleados!A:J,9,FALSE),""))</f>
        <v/>
      </c>
      <c r="D170" s="7" t="str">
        <f>IF(A170="","",IFERROR(VLOOKUP(A170,Empleados!A:I,8,FALSE),""))</f>
        <v/>
      </c>
      <c r="E170" s="7"/>
      <c r="F170" s="8"/>
      <c r="G170" s="8"/>
      <c r="H170" s="9" t="str">
        <f t="shared" si="15"/>
        <v/>
      </c>
      <c r="I170" s="7" t="str">
        <f t="shared" si="14"/>
        <v/>
      </c>
      <c r="J170" s="7"/>
      <c r="K170" s="7" t="str">
        <f t="shared" si="16"/>
        <v/>
      </c>
    </row>
    <row r="171" spans="1:11" x14ac:dyDescent="0.25">
      <c r="A171" s="7"/>
      <c r="B171" s="7" t="str">
        <f>IF(A171="","",IFERROR(VLOOKUP(A171,Empleados!A:B,2,FALSE),""))</f>
        <v/>
      </c>
      <c r="C171" s="7" t="str">
        <f>IF(A171="","",IFERROR(VLOOKUP(A171,Empleados!A:J,9,FALSE),""))</f>
        <v/>
      </c>
      <c r="D171" s="7" t="str">
        <f>IF(A171="","",IFERROR(VLOOKUP(A171,Empleados!A:I,8,FALSE),""))</f>
        <v/>
      </c>
      <c r="E171" s="7"/>
      <c r="F171" s="8"/>
      <c r="G171" s="8"/>
      <c r="H171" s="9" t="str">
        <f t="shared" si="15"/>
        <v/>
      </c>
      <c r="I171" s="7" t="str">
        <f t="shared" si="14"/>
        <v/>
      </c>
      <c r="J171" s="7"/>
      <c r="K171" s="7" t="str">
        <f t="shared" si="16"/>
        <v/>
      </c>
    </row>
    <row r="172" spans="1:11" x14ac:dyDescent="0.25">
      <c r="A172" s="7"/>
      <c r="B172" s="7" t="str">
        <f>IF(A172="","",IFERROR(VLOOKUP(A172,Empleados!A:B,2,FALSE),""))</f>
        <v/>
      </c>
      <c r="C172" s="7" t="str">
        <f>IF(A172="","",IFERROR(VLOOKUP(A172,Empleados!A:J,9,FALSE),""))</f>
        <v/>
      </c>
      <c r="D172" s="7" t="str">
        <f>IF(A172="","",IFERROR(VLOOKUP(A172,Empleados!A:I,8,FALSE),""))</f>
        <v/>
      </c>
      <c r="E172" s="7"/>
      <c r="F172" s="8"/>
      <c r="G172" s="8"/>
      <c r="H172" s="9" t="str">
        <f t="shared" si="15"/>
        <v/>
      </c>
      <c r="I172" s="7" t="str">
        <f t="shared" si="14"/>
        <v/>
      </c>
      <c r="J172" s="7"/>
      <c r="K172" s="7" t="str">
        <f t="shared" si="16"/>
        <v/>
      </c>
    </row>
    <row r="173" spans="1:11" x14ac:dyDescent="0.25">
      <c r="A173" s="7"/>
      <c r="B173" s="7" t="str">
        <f>IF(A173="","",IFERROR(VLOOKUP(A173,Empleados!A:B,2,FALSE),""))</f>
        <v/>
      </c>
      <c r="C173" s="7" t="str">
        <f>IF(A173="","",IFERROR(VLOOKUP(A173,Empleados!A:J,9,FALSE),""))</f>
        <v/>
      </c>
      <c r="D173" s="7" t="str">
        <f>IF(A173="","",IFERROR(VLOOKUP(A173,Empleados!A:I,8,FALSE),""))</f>
        <v/>
      </c>
      <c r="E173" s="7"/>
      <c r="F173" s="8"/>
      <c r="G173" s="8"/>
      <c r="H173" s="9" t="str">
        <f t="shared" si="15"/>
        <v/>
      </c>
      <c r="I173" s="7" t="str">
        <f t="shared" si="14"/>
        <v/>
      </c>
      <c r="J173" s="7"/>
      <c r="K173" s="7" t="str">
        <f t="shared" si="16"/>
        <v/>
      </c>
    </row>
    <row r="174" spans="1:11" x14ac:dyDescent="0.25">
      <c r="A174" s="7"/>
      <c r="B174" s="7" t="str">
        <f>IF(A174="","",IFERROR(VLOOKUP(A174,Empleados!A:B,2,FALSE),""))</f>
        <v/>
      </c>
      <c r="C174" s="7" t="str">
        <f>IF(A174="","",IFERROR(VLOOKUP(A174,Empleados!A:J,9,FALSE),""))</f>
        <v/>
      </c>
      <c r="D174" s="7" t="str">
        <f>IF(A174="","",IFERROR(VLOOKUP(A174,Empleados!A:I,8,FALSE),""))</f>
        <v/>
      </c>
      <c r="E174" s="7"/>
      <c r="F174" s="8"/>
      <c r="G174" s="8"/>
      <c r="H174" s="9" t="str">
        <f t="shared" si="15"/>
        <v/>
      </c>
      <c r="I174" s="7" t="str">
        <f t="shared" si="14"/>
        <v/>
      </c>
      <c r="J174" s="7"/>
      <c r="K174" s="7" t="str">
        <f t="shared" si="16"/>
        <v/>
      </c>
    </row>
    <row r="175" spans="1:11" x14ac:dyDescent="0.25">
      <c r="A175" s="7"/>
      <c r="B175" s="7" t="str">
        <f>IF(A175="","",IFERROR(VLOOKUP(A175,Empleados!A:B,2,FALSE),""))</f>
        <v/>
      </c>
      <c r="C175" s="7" t="str">
        <f>IF(A175="","",IFERROR(VLOOKUP(A175,Empleados!A:J,9,FALSE),""))</f>
        <v/>
      </c>
      <c r="D175" s="7" t="str">
        <f>IF(A175="","",IFERROR(VLOOKUP(A175,Empleados!A:I,8,FALSE),""))</f>
        <v/>
      </c>
      <c r="E175" s="7"/>
      <c r="F175" s="8"/>
      <c r="G175" s="8"/>
      <c r="H175" s="9" t="str">
        <f t="shared" si="15"/>
        <v/>
      </c>
      <c r="I175" s="7" t="str">
        <f t="shared" si="14"/>
        <v/>
      </c>
      <c r="J175" s="7"/>
      <c r="K175" s="7" t="str">
        <f t="shared" si="16"/>
        <v/>
      </c>
    </row>
    <row r="176" spans="1:11" x14ac:dyDescent="0.25">
      <c r="A176" s="7"/>
      <c r="B176" s="7" t="str">
        <f>IF(A176="","",IFERROR(VLOOKUP(A176,Empleados!A:B,2,FALSE),""))</f>
        <v/>
      </c>
      <c r="C176" s="7" t="str">
        <f>IF(A176="","",IFERROR(VLOOKUP(A176,Empleados!A:J,9,FALSE),""))</f>
        <v/>
      </c>
      <c r="D176" s="7" t="str">
        <f>IF(A176="","",IFERROR(VLOOKUP(A176,Empleados!A:I,8,FALSE),""))</f>
        <v/>
      </c>
      <c r="E176" s="7"/>
      <c r="F176" s="8"/>
      <c r="G176" s="8"/>
      <c r="H176" s="9" t="str">
        <f t="shared" si="15"/>
        <v/>
      </c>
      <c r="I176" s="7" t="str">
        <f t="shared" si="14"/>
        <v/>
      </c>
      <c r="J176" s="7"/>
      <c r="K176" s="7" t="str">
        <f t="shared" si="16"/>
        <v/>
      </c>
    </row>
    <row r="177" spans="1:11" x14ac:dyDescent="0.25">
      <c r="A177" s="7"/>
      <c r="B177" s="7" t="str">
        <f>IF(A177="","",IFERROR(VLOOKUP(A177,Empleados!A:B,2,FALSE),""))</f>
        <v/>
      </c>
      <c r="C177" s="7" t="str">
        <f>IF(A177="","",IFERROR(VLOOKUP(A177,Empleados!A:J,9,FALSE),""))</f>
        <v/>
      </c>
      <c r="D177" s="7" t="str">
        <f>IF(A177="","",IFERROR(VLOOKUP(A177,Empleados!A:I,8,FALSE),""))</f>
        <v/>
      </c>
      <c r="E177" s="7"/>
      <c r="F177" s="8"/>
      <c r="G177" s="8"/>
      <c r="H177" s="9" t="str">
        <f t="shared" si="15"/>
        <v/>
      </c>
      <c r="I177" s="7" t="str">
        <f t="shared" si="14"/>
        <v/>
      </c>
      <c r="J177" s="7"/>
      <c r="K177" s="7" t="str">
        <f t="shared" si="16"/>
        <v/>
      </c>
    </row>
    <row r="178" spans="1:11" x14ac:dyDescent="0.25">
      <c r="A178" s="7"/>
      <c r="B178" s="7" t="str">
        <f>IF(A178="","",IFERROR(VLOOKUP(A178,Empleados!A:B,2,FALSE),""))</f>
        <v/>
      </c>
      <c r="C178" s="7" t="str">
        <f>IF(A178="","",IFERROR(VLOOKUP(A178,Empleados!A:J,9,FALSE),""))</f>
        <v/>
      </c>
      <c r="D178" s="7" t="str">
        <f>IF(A178="","",IFERROR(VLOOKUP(A178,Empleados!A:I,8,FALSE),""))</f>
        <v/>
      </c>
      <c r="E178" s="7"/>
      <c r="F178" s="8"/>
      <c r="G178" s="8"/>
      <c r="H178" s="9" t="str">
        <f t="shared" si="15"/>
        <v/>
      </c>
      <c r="I178" s="7" t="str">
        <f t="shared" si="14"/>
        <v/>
      </c>
      <c r="J178" s="7"/>
      <c r="K178" s="7" t="str">
        <f t="shared" si="16"/>
        <v/>
      </c>
    </row>
    <row r="179" spans="1:11" x14ac:dyDescent="0.25">
      <c r="A179" s="7"/>
      <c r="B179" s="7" t="str">
        <f>IF(A179="","",IFERROR(VLOOKUP(A179,Empleados!A:B,2,FALSE),""))</f>
        <v/>
      </c>
      <c r="C179" s="7" t="str">
        <f>IF(A179="","",IFERROR(VLOOKUP(A179,Empleados!A:J,9,FALSE),""))</f>
        <v/>
      </c>
      <c r="D179" s="7" t="str">
        <f>IF(A179="","",IFERROR(VLOOKUP(A179,Empleados!A:I,8,FALSE),""))</f>
        <v/>
      </c>
      <c r="E179" s="7"/>
      <c r="F179" s="8"/>
      <c r="G179" s="8"/>
      <c r="H179" s="9" t="str">
        <f t="shared" si="15"/>
        <v/>
      </c>
      <c r="I179" s="7" t="str">
        <f t="shared" si="14"/>
        <v/>
      </c>
      <c r="J179" s="7"/>
      <c r="K179" s="7" t="str">
        <f t="shared" si="16"/>
        <v/>
      </c>
    </row>
    <row r="180" spans="1:11" x14ac:dyDescent="0.25">
      <c r="A180" s="7"/>
      <c r="B180" s="7" t="str">
        <f>IF(A180="","",IFERROR(VLOOKUP(A180,Empleados!A:B,2,FALSE),""))</f>
        <v/>
      </c>
      <c r="C180" s="7" t="str">
        <f>IF(A180="","",IFERROR(VLOOKUP(A180,Empleados!A:J,9,FALSE),""))</f>
        <v/>
      </c>
      <c r="D180" s="7" t="str">
        <f>IF(A180="","",IFERROR(VLOOKUP(A180,Empleados!A:I,8,FALSE),""))</f>
        <v/>
      </c>
      <c r="E180" s="7"/>
      <c r="F180" s="8"/>
      <c r="G180" s="8"/>
      <c r="H180" s="9" t="str">
        <f t="shared" si="15"/>
        <v/>
      </c>
      <c r="I180" s="7" t="str">
        <f t="shared" si="14"/>
        <v/>
      </c>
      <c r="J180" s="7"/>
      <c r="K180" s="7" t="str">
        <f t="shared" si="16"/>
        <v/>
      </c>
    </row>
    <row r="181" spans="1:11" x14ac:dyDescent="0.25">
      <c r="A181" s="7"/>
      <c r="B181" s="7" t="str">
        <f>IF(A181="","",IFERROR(VLOOKUP(A181,Empleados!A:B,2,FALSE),""))</f>
        <v/>
      </c>
      <c r="C181" s="7" t="str">
        <f>IF(A181="","",IFERROR(VLOOKUP(A181,Empleados!A:J,9,FALSE),""))</f>
        <v/>
      </c>
      <c r="D181" s="7" t="str">
        <f>IF(A181="","",IFERROR(VLOOKUP(A181,Empleados!A:I,8,FALSE),""))</f>
        <v/>
      </c>
      <c r="E181" s="7"/>
      <c r="F181" s="8"/>
      <c r="G181" s="8"/>
      <c r="H181" s="9" t="str">
        <f t="shared" si="15"/>
        <v/>
      </c>
      <c r="I181" s="7" t="str">
        <f t="shared" si="14"/>
        <v/>
      </c>
      <c r="J181" s="7"/>
      <c r="K181" s="7" t="str">
        <f t="shared" si="16"/>
        <v/>
      </c>
    </row>
    <row r="182" spans="1:11" x14ac:dyDescent="0.25">
      <c r="A182" s="7"/>
      <c r="B182" s="7" t="str">
        <f>IF(A182="","",IFERROR(VLOOKUP(A182,Empleados!A:B,2,FALSE),""))</f>
        <v/>
      </c>
      <c r="C182" s="7" t="str">
        <f>IF(A182="","",IFERROR(VLOOKUP(A182,Empleados!A:J,9,FALSE),""))</f>
        <v/>
      </c>
      <c r="D182" s="7" t="str">
        <f>IF(A182="","",IFERROR(VLOOKUP(A182,Empleados!A:I,8,FALSE),""))</f>
        <v/>
      </c>
      <c r="E182" s="7"/>
      <c r="F182" s="8"/>
      <c r="G182" s="8"/>
      <c r="H182" s="9" t="str">
        <f t="shared" si="15"/>
        <v/>
      </c>
      <c r="I182" s="7" t="str">
        <f t="shared" si="14"/>
        <v/>
      </c>
      <c r="J182" s="7"/>
      <c r="K182" s="7" t="str">
        <f t="shared" si="16"/>
        <v/>
      </c>
    </row>
    <row r="183" spans="1:11" x14ac:dyDescent="0.25">
      <c r="A183" s="7"/>
      <c r="B183" s="7" t="str">
        <f>IF(A183="","",IFERROR(VLOOKUP(A183,Empleados!A:B,2,FALSE),""))</f>
        <v/>
      </c>
      <c r="C183" s="7" t="str">
        <f>IF(A183="","",IFERROR(VLOOKUP(A183,Empleados!A:J,9,FALSE),""))</f>
        <v/>
      </c>
      <c r="D183" s="7" t="str">
        <f>IF(A183="","",IFERROR(VLOOKUP(A183,Empleados!A:I,8,FALSE),""))</f>
        <v/>
      </c>
      <c r="E183" s="7"/>
      <c r="F183" s="8"/>
      <c r="G183" s="8"/>
      <c r="H183" s="9" t="str">
        <f t="shared" si="15"/>
        <v/>
      </c>
      <c r="I183" s="7" t="str">
        <f t="shared" si="14"/>
        <v/>
      </c>
      <c r="J183" s="7"/>
      <c r="K183" s="7" t="str">
        <f t="shared" si="16"/>
        <v/>
      </c>
    </row>
    <row r="184" spans="1:11" x14ac:dyDescent="0.25">
      <c r="A184" s="7"/>
      <c r="B184" s="7" t="str">
        <f>IF(A184="","",IFERROR(VLOOKUP(A184,Empleados!A:B,2,FALSE),""))</f>
        <v/>
      </c>
      <c r="C184" s="7" t="str">
        <f>IF(A184="","",IFERROR(VLOOKUP(A184,Empleados!A:J,9,FALSE),""))</f>
        <v/>
      </c>
      <c r="D184" s="7" t="str">
        <f>IF(A184="","",IFERROR(VLOOKUP(A184,Empleados!A:I,8,FALSE),""))</f>
        <v/>
      </c>
      <c r="E184" s="7"/>
      <c r="F184" s="8"/>
      <c r="G184" s="8"/>
      <c r="H184" s="9" t="str">
        <f t="shared" si="15"/>
        <v/>
      </c>
      <c r="I184" s="7" t="str">
        <f t="shared" ref="I184:I197" si="17">IF(A184="","","PENDIENTE")</f>
        <v/>
      </c>
      <c r="J184" s="7"/>
      <c r="K184" s="7" t="str">
        <f t="shared" si="16"/>
        <v/>
      </c>
    </row>
    <row r="185" spans="1:11" x14ac:dyDescent="0.25">
      <c r="A185" s="7"/>
      <c r="B185" s="7" t="str">
        <f>IF(A185="","",IFERROR(VLOOKUP(A185,Empleados!A:B,2,FALSE),""))</f>
        <v/>
      </c>
      <c r="C185" s="7" t="str">
        <f>IF(A185="","",IFERROR(VLOOKUP(A185,Empleados!A:J,9,FALSE),""))</f>
        <v/>
      </c>
      <c r="D185" s="7" t="str">
        <f>IF(A185="","",IFERROR(VLOOKUP(A185,Empleados!A:I,8,FALSE),""))</f>
        <v/>
      </c>
      <c r="E185" s="7"/>
      <c r="F185" s="8"/>
      <c r="G185" s="8"/>
      <c r="H185" s="9" t="str">
        <f t="shared" si="15"/>
        <v/>
      </c>
      <c r="I185" s="7" t="str">
        <f t="shared" si="17"/>
        <v/>
      </c>
      <c r="J185" s="7"/>
      <c r="K185" s="7" t="str">
        <f t="shared" si="16"/>
        <v/>
      </c>
    </row>
    <row r="186" spans="1:11" x14ac:dyDescent="0.25">
      <c r="A186" s="7"/>
      <c r="B186" s="7" t="str">
        <f>IF(A186="","",IFERROR(VLOOKUP(A186,Empleados!A:B,2,FALSE),""))</f>
        <v/>
      </c>
      <c r="C186" s="7" t="str">
        <f>IF(A186="","",IFERROR(VLOOKUP(A186,Empleados!A:J,9,FALSE),""))</f>
        <v/>
      </c>
      <c r="D186" s="7" t="str">
        <f>IF(A186="","",IFERROR(VLOOKUP(A186,Empleados!A:I,8,FALSE),""))</f>
        <v/>
      </c>
      <c r="E186" s="7"/>
      <c r="F186" s="8"/>
      <c r="G186" s="8"/>
      <c r="H186" s="9" t="str">
        <f t="shared" si="15"/>
        <v/>
      </c>
      <c r="I186" s="7" t="str">
        <f t="shared" si="17"/>
        <v/>
      </c>
      <c r="J186" s="7"/>
      <c r="K186" s="7" t="str">
        <f t="shared" si="16"/>
        <v/>
      </c>
    </row>
    <row r="187" spans="1:11" x14ac:dyDescent="0.25">
      <c r="A187" s="7"/>
      <c r="B187" s="7" t="str">
        <f>IF(A187="","",IFERROR(VLOOKUP(A187,Empleados!A:B,2,FALSE),""))</f>
        <v/>
      </c>
      <c r="C187" s="7" t="str">
        <f>IF(A187="","",IFERROR(VLOOKUP(A187,Empleados!A:J,9,FALSE),""))</f>
        <v/>
      </c>
      <c r="D187" s="7" t="str">
        <f>IF(A187="","",IFERROR(VLOOKUP(A187,Empleados!A:I,8,FALSE),""))</f>
        <v/>
      </c>
      <c r="E187" s="7"/>
      <c r="F187" s="8"/>
      <c r="G187" s="8"/>
      <c r="H187" s="9" t="str">
        <f t="shared" si="15"/>
        <v/>
      </c>
      <c r="I187" s="7" t="str">
        <f t="shared" si="17"/>
        <v/>
      </c>
      <c r="J187" s="7"/>
      <c r="K187" s="7" t="str">
        <f t="shared" si="16"/>
        <v/>
      </c>
    </row>
    <row r="188" spans="1:11" x14ac:dyDescent="0.25">
      <c r="A188" s="7"/>
      <c r="B188" s="7" t="str">
        <f>IF(A188="","",IFERROR(VLOOKUP(A188,Empleados!A:B,2,FALSE),""))</f>
        <v/>
      </c>
      <c r="C188" s="7" t="str">
        <f>IF(A188="","",IFERROR(VLOOKUP(A188,Empleados!A:J,9,FALSE),""))</f>
        <v/>
      </c>
      <c r="D188" s="7" t="str">
        <f>IF(A188="","",IFERROR(VLOOKUP(A188,Empleados!A:I,8,FALSE),""))</f>
        <v/>
      </c>
      <c r="E188" s="7"/>
      <c r="F188" s="8"/>
      <c r="G188" s="8"/>
      <c r="H188" s="9" t="str">
        <f t="shared" si="15"/>
        <v/>
      </c>
      <c r="I188" s="7" t="str">
        <f t="shared" si="17"/>
        <v/>
      </c>
      <c r="J188" s="7"/>
      <c r="K188" s="7" t="str">
        <f t="shared" si="16"/>
        <v/>
      </c>
    </row>
    <row r="189" spans="1:11" x14ac:dyDescent="0.25">
      <c r="A189" s="7"/>
      <c r="B189" s="7" t="str">
        <f>IF(A189="","",IFERROR(VLOOKUP(A189,Empleados!A:B,2,FALSE),""))</f>
        <v/>
      </c>
      <c r="C189" s="7" t="str">
        <f>IF(A189="","",IFERROR(VLOOKUP(A189,Empleados!A:J,9,FALSE),""))</f>
        <v/>
      </c>
      <c r="D189" s="7" t="str">
        <f>IF(A189="","",IFERROR(VLOOKUP(A189,Empleados!A:I,8,FALSE),""))</f>
        <v/>
      </c>
      <c r="E189" s="7"/>
      <c r="F189" s="8"/>
      <c r="G189" s="8"/>
      <c r="H189" s="9" t="str">
        <f t="shared" si="15"/>
        <v/>
      </c>
      <c r="I189" s="7" t="str">
        <f t="shared" si="17"/>
        <v/>
      </c>
      <c r="J189" s="7"/>
      <c r="K189" s="7" t="str">
        <f t="shared" si="16"/>
        <v/>
      </c>
    </row>
    <row r="190" spans="1:11" x14ac:dyDescent="0.25">
      <c r="A190" s="7"/>
      <c r="B190" s="7" t="str">
        <f>IF(A190="","",IFERROR(VLOOKUP(A190,Empleados!A:B,2,FALSE),""))</f>
        <v/>
      </c>
      <c r="C190" s="7" t="str">
        <f>IF(A190="","",IFERROR(VLOOKUP(A190,Empleados!A:J,9,FALSE),""))</f>
        <v/>
      </c>
      <c r="D190" s="7" t="str">
        <f>IF(A190="","",IFERROR(VLOOKUP(A190,Empleados!A:I,8,FALSE),""))</f>
        <v/>
      </c>
      <c r="E190" s="7"/>
      <c r="F190" s="8"/>
      <c r="G190" s="8"/>
      <c r="H190" s="9" t="str">
        <f t="shared" si="15"/>
        <v/>
      </c>
      <c r="I190" s="7" t="str">
        <f t="shared" si="17"/>
        <v/>
      </c>
      <c r="J190" s="7"/>
      <c r="K190" s="7" t="str">
        <f t="shared" si="16"/>
        <v/>
      </c>
    </row>
    <row r="191" spans="1:11" x14ac:dyDescent="0.25">
      <c r="A191" s="7"/>
      <c r="B191" s="7" t="str">
        <f>IF(A191="","",IFERROR(VLOOKUP(A191,Empleados!A:B,2,FALSE),""))</f>
        <v/>
      </c>
      <c r="C191" s="7" t="str">
        <f>IF(A191="","",IFERROR(VLOOKUP(A191,Empleados!A:J,9,FALSE),""))</f>
        <v/>
      </c>
      <c r="D191" s="7" t="str">
        <f>IF(A191="","",IFERROR(VLOOKUP(A191,Empleados!A:I,8,FALSE),""))</f>
        <v/>
      </c>
      <c r="E191" s="7"/>
      <c r="F191" s="8"/>
      <c r="G191" s="8"/>
      <c r="H191" s="9" t="str">
        <f t="shared" si="15"/>
        <v/>
      </c>
      <c r="I191" s="7" t="str">
        <f t="shared" si="17"/>
        <v/>
      </c>
      <c r="J191" s="7"/>
      <c r="K191" s="7" t="str">
        <f t="shared" si="16"/>
        <v/>
      </c>
    </row>
    <row r="192" spans="1:11" x14ac:dyDescent="0.25">
      <c r="A192" s="7"/>
      <c r="B192" s="7" t="str">
        <f>IF(A192="","",IFERROR(VLOOKUP(A192,Empleados!A:B,2,FALSE),""))</f>
        <v/>
      </c>
      <c r="C192" s="7" t="str">
        <f>IF(A192="","",IFERROR(VLOOKUP(A192,Empleados!A:J,9,FALSE),""))</f>
        <v/>
      </c>
      <c r="D192" s="7" t="str">
        <f>IF(A192="","",IFERROR(VLOOKUP(A192,Empleados!A:I,8,FALSE),""))</f>
        <v/>
      </c>
      <c r="E192" s="7"/>
      <c r="F192" s="8"/>
      <c r="G192" s="8"/>
      <c r="H192" s="9" t="str">
        <f t="shared" si="15"/>
        <v/>
      </c>
      <c r="I192" s="7" t="str">
        <f t="shared" si="17"/>
        <v/>
      </c>
      <c r="J192" s="7"/>
      <c r="K192" s="7" t="str">
        <f t="shared" si="16"/>
        <v/>
      </c>
    </row>
    <row r="193" spans="1:11" x14ac:dyDescent="0.25">
      <c r="A193" s="7"/>
      <c r="B193" s="7" t="str">
        <f>IF(A193="","",IFERROR(VLOOKUP(A193,Empleados!A:B,2,FALSE),""))</f>
        <v/>
      </c>
      <c r="C193" s="7" t="str">
        <f>IF(A193="","",IFERROR(VLOOKUP(A193,Empleados!A:J,9,FALSE),""))</f>
        <v/>
      </c>
      <c r="D193" s="7" t="str">
        <f>IF(A193="","",IFERROR(VLOOKUP(A193,Empleados!A:I,8,FALSE),""))</f>
        <v/>
      </c>
      <c r="E193" s="7"/>
      <c r="F193" s="8"/>
      <c r="G193" s="8"/>
      <c r="H193" s="9" t="str">
        <f t="shared" si="15"/>
        <v/>
      </c>
      <c r="I193" s="7" t="str">
        <f t="shared" si="17"/>
        <v/>
      </c>
      <c r="J193" s="7"/>
      <c r="K193" s="7" t="str">
        <f t="shared" si="16"/>
        <v/>
      </c>
    </row>
    <row r="194" spans="1:11" x14ac:dyDescent="0.25">
      <c r="A194" s="7"/>
      <c r="B194" s="7" t="str">
        <f>IF(A194="","",IFERROR(VLOOKUP(A194,Empleados!A:B,2,FALSE),""))</f>
        <v/>
      </c>
      <c r="C194" s="7" t="str">
        <f>IF(A194="","",IFERROR(VLOOKUP(A194,Empleados!A:J,9,FALSE),""))</f>
        <v/>
      </c>
      <c r="D194" s="7" t="str">
        <f>IF(A194="","",IFERROR(VLOOKUP(A194,Empleados!A:I,8,FALSE),""))</f>
        <v/>
      </c>
      <c r="E194" s="7"/>
      <c r="F194" s="8"/>
      <c r="G194" s="8"/>
      <c r="H194" s="9" t="str">
        <f t="shared" ref="H194:H225" si="18">IF(OR(F194="",G194=""),"",G194-F194+1)</f>
        <v/>
      </c>
      <c r="I194" s="7" t="str">
        <f t="shared" si="17"/>
        <v/>
      </c>
      <c r="J194" s="7"/>
      <c r="K194" s="7" t="str">
        <f t="shared" si="16"/>
        <v/>
      </c>
    </row>
    <row r="195" spans="1:11" x14ac:dyDescent="0.25">
      <c r="A195" s="7"/>
      <c r="B195" s="7" t="str">
        <f>IF(A195="","",IFERROR(VLOOKUP(A195,Empleados!A:B,2,FALSE),""))</f>
        <v/>
      </c>
      <c r="C195" s="7" t="str">
        <f>IF(A195="","",IFERROR(VLOOKUP(A195,Empleados!A:J,9,FALSE),""))</f>
        <v/>
      </c>
      <c r="D195" s="7" t="str">
        <f>IF(A195="","",IFERROR(VLOOKUP(A195,Empleados!A:I,8,FALSE),""))</f>
        <v/>
      </c>
      <c r="E195" s="7"/>
      <c r="F195" s="8"/>
      <c r="G195" s="8"/>
      <c r="H195" s="9" t="str">
        <f t="shared" si="18"/>
        <v/>
      </c>
      <c r="I195" s="7" t="str">
        <f t="shared" si="17"/>
        <v/>
      </c>
      <c r="J195" s="7"/>
      <c r="K195" s="7" t="str">
        <f t="shared" si="16"/>
        <v/>
      </c>
    </row>
    <row r="196" spans="1:11" x14ac:dyDescent="0.25">
      <c r="A196" s="7"/>
      <c r="B196" s="7" t="str">
        <f>IF(A196="","",IFERROR(VLOOKUP(A196,Empleados!A:B,2,FALSE),""))</f>
        <v/>
      </c>
      <c r="C196" s="7" t="str">
        <f>IF(A196="","",IFERROR(VLOOKUP(A196,Empleados!A:J,9,FALSE),""))</f>
        <v/>
      </c>
      <c r="D196" s="7" t="str">
        <f>IF(A196="","",IFERROR(VLOOKUP(A196,Empleados!A:I,8,FALSE),""))</f>
        <v/>
      </c>
      <c r="E196" s="7"/>
      <c r="F196" s="8"/>
      <c r="G196" s="8"/>
      <c r="H196" s="9" t="str">
        <f t="shared" si="18"/>
        <v/>
      </c>
      <c r="I196" s="7" t="str">
        <f t="shared" si="17"/>
        <v/>
      </c>
      <c r="J196" s="7"/>
      <c r="K196" s="7" t="str">
        <f t="shared" si="16"/>
        <v/>
      </c>
    </row>
    <row r="197" spans="1:11" x14ac:dyDescent="0.25">
      <c r="A197" s="7"/>
      <c r="B197" s="7" t="str">
        <f>IF(A197="","",IFERROR(VLOOKUP(A197,Empleados!A:B,2,FALSE),""))</f>
        <v/>
      </c>
      <c r="C197" s="7" t="str">
        <f>IF(A197="","",IFERROR(VLOOKUP(A197,Empleados!A:J,9,FALSE),""))</f>
        <v/>
      </c>
      <c r="D197" s="7" t="str">
        <f>IF(A197="","",IFERROR(VLOOKUP(A197,Empleados!A:I,8,FALSE),""))</f>
        <v/>
      </c>
      <c r="E197" s="7"/>
      <c r="F197" s="8"/>
      <c r="G197" s="8"/>
      <c r="H197" s="9" t="str">
        <f t="shared" si="18"/>
        <v/>
      </c>
      <c r="I197" s="7" t="str">
        <f t="shared" si="17"/>
        <v/>
      </c>
      <c r="J197" s="7"/>
      <c r="K197" s="7" t="str">
        <f t="shared" si="16"/>
        <v/>
      </c>
    </row>
  </sheetData>
  <conditionalFormatting sqref="E2:E197">
    <cfRule type="expression" dxfId="3" priority="1">
      <formula>$E2="VACACIONES"</formula>
    </cfRule>
    <cfRule type="expression" dxfId="2" priority="2">
      <formula>$E2="ENFERMEDAD"</formula>
    </cfRule>
  </conditionalFormatting>
  <conditionalFormatting sqref="I2:I197">
    <cfRule type="expression" dxfId="1" priority="3">
      <formula>$I2="PENDIENTE"</formula>
    </cfRule>
    <cfRule type="expression" dxfId="0" priority="4">
      <formula>$I2="APROBADO"</formula>
    </cfRule>
  </conditionalFormatting>
  <dataValidations count="18">
    <dataValidation type="list" allowBlank="1" sqref="E2:E5000">
      <formula1>"DOMINGO,AUSENCIA,VACACIONES,ESTUDIAR,CAPACITACIONES,SUSPENCION,NO TRABAJADO,LICENCIA,FERIADO,ACCIDENTE DE TRABAJO,VIAJES,PRESENTE"</formula1>
    </dataValidation>
    <dataValidation type="list" allowBlank="1" sqref="I2:I5000">
      <formula1>"PENDIENTE,APROBADO,RECHAZADO"</formula1>
    </dataValidation>
    <dataValidation type="list" allowBlank="1" sqref="E2:E5000">
      <formula1>"DOMINGO,AUSENCIA,VACACIONES,ESTUDIAR,CAPACITACIONES,SUSPENCION,NO TRABAJADO,LICENCIA,FERIADO,ACCIDENTE DE TRABAJO,VIAJES,PRESENTE"</formula1>
    </dataValidation>
    <dataValidation type="list" allowBlank="1" sqref="I2:I5000">
      <formula1>"PENDIENTE,APROBADO,RECHAZADO"</formula1>
    </dataValidation>
    <dataValidation type="list" allowBlank="1" sqref="E2:E5000">
      <formula1>"DOMINGO,AUSENCIA,VACACIONES,ESTUDIAR,CAPACITACIONES,SUSPENCION,NO TRABAJADO,LICENCIA,FERIADO,ACCIDENTE DE TRABAJO,VIAJES,PRESENTE"</formula1>
    </dataValidation>
    <dataValidation type="list" allowBlank="1" sqref="I2:I5000">
      <formula1>"PENDIENTE,APROBADO,RECHAZADO"</formula1>
    </dataValidation>
    <dataValidation type="list" allowBlank="1" sqref="E2:E5000">
      <formula1>"DOMINGO,AUSENCIA,VACACIONES,ESTUDIAR,CAPACITACIONES,SUSPENCION,NO TRABAJADO,LICENCIA,FERIADO,ACCIDENTE DE TRABAJO,VIAJES,PRESENTE"</formula1>
    </dataValidation>
    <dataValidation type="list" allowBlank="1" sqref="I2:I5000">
      <formula1>"PENDIENTE,APROBADO,RECHAZADO"</formula1>
    </dataValidation>
    <dataValidation type="list" allowBlank="1" sqref="E2:E5000">
      <formula1>"DOMINGO,AUSENCIA,VACACIONES,ESTUDIAR,CAPACITACIONES,SUSPENCION,NO TRABAJADO,LICENCIA,FERIADO,ACCIDENTE DE TRABAJO,VIAJES,PRESENTE"</formula1>
    </dataValidation>
    <dataValidation type="list" allowBlank="1" sqref="I2:I5000">
      <formula1>"PENDIENTE,APROBADO,RECHAZADO"</formula1>
    </dataValidation>
    <dataValidation type="list" allowBlank="1" sqref="E2:E5000">
      <formula1>"DOMINGO,AUSENCIA,VACACIONES,ESTUDIAR,CAPACITACIONES,SUSPENCION,NO TRABAJADO,LICENCIA,FERIADO,ACCIDENTE DE TRABAJO,VIAJES,PRESENTE"</formula1>
    </dataValidation>
    <dataValidation type="list" allowBlank="1" sqref="I2:I5000">
      <formula1>"PENDIENTE,APROBADO,RECHAZADO"</formula1>
    </dataValidation>
    <dataValidation type="list" allowBlank="1" sqref="E2:E5000">
      <formula1>"DOMINGO,AUSENCIA,VACACIONES,ESTUDIAR,CAPACITACIONES,SUSPENCION,NO TRABAJADO,LICENCIA,FERIADO,ACCIDENTE DE TRABAJO,VIAJES,PRESENTE"</formula1>
    </dataValidation>
    <dataValidation type="list" allowBlank="1" sqref="I2:I5000">
      <formula1>"PENDIENTE,APROBADO,RECHAZADO"</formula1>
    </dataValidation>
    <dataValidation type="list" allowBlank="1" sqref="E2:E5000">
      <formula1>"DOMINGO,AUSENCIA,VACACIONES,ESTUDIAR,CAPACITACIONES,SUSPENCION,NO TRABAJADO,LICENCIA,FERIADO,ACCIDENTE DE TRABAJO,VIAJES,PRESENTE"</formula1>
    </dataValidation>
    <dataValidation type="list" allowBlank="1" sqref="I2:I5000">
      <formula1>"PENDIENTE,APROBADO,RECHAZADO"</formula1>
    </dataValidation>
    <dataValidation type="list" allowBlank="1" sqref="E2:E5000">
      <formula1>"DOMINGO,AUSENCIA,VACACIONES,ESTUDIAR,CAPACITACIONES,SUSPENCION,NO TRABAJADO,LICENCIA,FERIADO,ACCIDENTE DE TRABAJO,VIAJES,PRESENTE"</formula1>
    </dataValidation>
    <dataValidation type="list" allowBlank="1" sqref="I2:I5000">
      <formula1>"PENDIENTE,APROBADO,RECHAZADO"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20" sqref="E20"/>
    </sheetView>
  </sheetViews>
  <sheetFormatPr baseColWidth="10" defaultColWidth="8.85546875" defaultRowHeight="15" x14ac:dyDescent="0.25"/>
  <cols>
    <col min="1" max="1" width="24" customWidth="1"/>
    <col min="3" max="3" width="20" customWidth="1"/>
    <col min="5" max="5" width="90" customWidth="1"/>
  </cols>
  <sheetData>
    <row r="1" spans="1:5" x14ac:dyDescent="0.25">
      <c r="A1" s="6" t="s">
        <v>64</v>
      </c>
      <c r="B1" s="6"/>
      <c r="C1" s="6" t="s">
        <v>65</v>
      </c>
      <c r="E1" s="6" t="s">
        <v>66</v>
      </c>
    </row>
    <row r="2" spans="1:5" x14ac:dyDescent="0.25">
      <c r="A2" t="s">
        <v>67</v>
      </c>
      <c r="C2" t="s">
        <v>68</v>
      </c>
      <c r="E2" s="7" t="s">
        <v>69</v>
      </c>
    </row>
    <row r="3" spans="1:5" x14ac:dyDescent="0.25">
      <c r="A3" t="s">
        <v>62</v>
      </c>
      <c r="C3" t="s">
        <v>59</v>
      </c>
      <c r="E3" s="7" t="s">
        <v>70</v>
      </c>
    </row>
    <row r="4" spans="1:5" x14ac:dyDescent="0.25">
      <c r="A4" t="s">
        <v>63</v>
      </c>
      <c r="C4" t="s">
        <v>71</v>
      </c>
      <c r="E4" s="7" t="s">
        <v>72</v>
      </c>
    </row>
    <row r="5" spans="1:5" x14ac:dyDescent="0.25">
      <c r="A5" t="s">
        <v>73</v>
      </c>
      <c r="E5" s="7" t="s">
        <v>74</v>
      </c>
    </row>
    <row r="6" spans="1:5" ht="30" customHeight="1" x14ac:dyDescent="0.25">
      <c r="A6" t="s">
        <v>75</v>
      </c>
      <c r="E6" s="7" t="s">
        <v>76</v>
      </c>
    </row>
    <row r="7" spans="1:5" x14ac:dyDescent="0.25">
      <c r="A7" t="s">
        <v>77</v>
      </c>
    </row>
    <row r="8" spans="1:5" x14ac:dyDescent="0.25">
      <c r="A8" t="s">
        <v>78</v>
      </c>
    </row>
    <row r="9" spans="1:5" x14ac:dyDescent="0.25">
      <c r="A9" t="s">
        <v>79</v>
      </c>
    </row>
    <row r="10" spans="1:5" x14ac:dyDescent="0.25">
      <c r="A10" t="s">
        <v>58</v>
      </c>
    </row>
    <row r="11" spans="1:5" x14ac:dyDescent="0.25">
      <c r="A11" t="s">
        <v>60</v>
      </c>
    </row>
    <row r="12" spans="1:5" x14ac:dyDescent="0.25">
      <c r="A12" t="s">
        <v>80</v>
      </c>
    </row>
    <row r="13" spans="1:5" x14ac:dyDescent="0.25">
      <c r="A13" s="12" t="s">
        <v>61</v>
      </c>
    </row>
    <row r="14" spans="1:5" x14ac:dyDescent="0.25">
      <c r="A1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Empleados</vt:lpstr>
      <vt:lpstr>Ausencias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2026-05-08T10:53:34Z</dcterms:created>
  <dcterms:modified xsi:type="dcterms:W3CDTF">2026-06-24T14:06:09Z</dcterms:modified>
</cp:coreProperties>
</file>