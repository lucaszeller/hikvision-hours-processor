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1854E517-6919-47C6-B750-057A9E57085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B2" i="3"/>
  <c r="B3" i="3"/>
  <c r="B4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E13" i="4"/>
  <c r="E12" i="4"/>
  <c r="E11" i="4"/>
  <c r="E10" i="4"/>
  <c r="E9" i="4"/>
  <c r="E8" i="4"/>
  <c r="B8" i="4"/>
  <c r="E7" i="4"/>
  <c r="E6" i="4"/>
  <c r="E5" i="4"/>
  <c r="E4" i="4"/>
  <c r="B4" i="4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<sst xmlns="http://schemas.openxmlformats.org/spreadsheetml/2006/main" count="177" uniqueCount="96">
  <si>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</si>
  <si>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</si>
  <si>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</si>
  <si>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</si>
  <si>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</si>
  <si>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</si>
  <si>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</si>
  <si>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</si>
  <si>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</si>
  <si>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</si>
  <si>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</si>
  <si>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</si>
  <si>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</si>
  <si>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</si>
  <si>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</si>
  <si>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</si>
  <si>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</si>
  <si>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</si>
  <si>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</si>
  <si>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</si>
  <si>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</si>
  <si>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</si>
  <si>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</si>
  <si>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</si>
  <si>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</si>
  <si>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</si>
  <si>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</si>
  <si>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</si>
  <si>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</si>
  <si>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</si>
  <si>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</si>
  <si>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</si>
  <si>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</si>
  <si>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</si>
  <si>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</si>
  <si>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</si>
  <si>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</si>
  <si>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</si>
  <si>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Pasante</t>
  </si>
  <si>
    <t>Mansilla Luis Gabriel</t>
  </si>
  <si>
    <t>Zeller Lucas Ezequiel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</si>
  <si>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</si>
  <si>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</si>
  <si>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</si>
  <si>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</si>
  <si>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</si>
  <si>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</si>
  <si>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</si>
  <si>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</si>
  <si>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</si>
  <si>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</si>
  <si>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</si>
  <si>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</si>
  <si>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</si>
  <si>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</si>
  <si>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</si>
  <si>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</si>
  <si>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</si>
  <si>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</si>
  <si>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</si>
  <si>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</si>
  <si>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</si>
  <si>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</si>
  <si>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</si>
  <si>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</si>
  <si>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</si>
  <si>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</si>
  <si>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</si>
  <si>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</si>
  <si>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</si>
  <si>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</si>
  <si>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</si>
  <si>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</si>
  <si>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</si>
  <si>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</si>
  <si>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</si>
  <si>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</si>
  <si>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</si>
  <si>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</si>
  <si>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</si>
  <si>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</si>
  <si>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</si>
  <si>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</si>
  <si>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</si>
  <si>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</si>
  <si>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</si>
  <si>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</si>
  <si>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</si>
  <si>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</si>
  <si>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</si>
  <si>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</si>
  <si>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</si>
  <si>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</si>
  <si>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</si>
  <si>
    <t>Todos</t>
  </si>
  <si>
    <t>lunes , miercoles y 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</si>
</sst>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0" fillId="0" borderId="2" xfId="0"/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29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0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0"/>
  <sheetViews>
    <sheetView topLeftCell="A13" workbookViewId="0">
      <selection activeCell="C35" sqref="C35:C36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s="12" customFormat="1" x14ac:dyDescent="0.3">
      <c r="A2" s="5">
        <v>1</v>
      </c>
      <c r="B2" s="2" t="s">
        <v>94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9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10</v>
      </c>
      <c r="H3" s="2" t="s">
        <v>11</v>
      </c>
      <c r="I3" s="2" t="s">
        <v>12</v>
      </c>
    </row>
    <row r="4" spans="1:9" x14ac:dyDescent="0.3">
      <c r="A4" s="5">
        <v>43</v>
      </c>
      <c r="B4" s="2" t="s">
        <v>13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51</v>
      </c>
      <c r="B5" s="2" t="s">
        <v>15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52</v>
      </c>
      <c r="B6" s="2" t="s">
        <v>16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67</v>
      </c>
      <c r="B7" s="2" t="s">
        <v>17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14</v>
      </c>
    </row>
    <row r="8" spans="1:9" x14ac:dyDescent="0.3">
      <c r="A8" s="5">
        <v>79</v>
      </c>
      <c r="B8" s="2" t="s">
        <v>18</v>
      </c>
      <c r="C8" s="3">
        <v>0.3125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19</v>
      </c>
    </row>
    <row r="9" spans="1:9" x14ac:dyDescent="0.3">
      <c r="A9" s="5">
        <v>82</v>
      </c>
      <c r="B9" s="2" t="s">
        <v>20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10</v>
      </c>
      <c r="H9" s="2" t="s">
        <v>11</v>
      </c>
      <c r="I9" s="2" t="s">
        <v>14</v>
      </c>
    </row>
    <row r="10" spans="1:9" x14ac:dyDescent="0.3">
      <c r="A10" s="5">
        <v>83</v>
      </c>
      <c r="B10" s="2" t="s">
        <v>21</v>
      </c>
      <c r="C10" s="3">
        <v>0.29166666666666669</v>
      </c>
      <c r="D10" s="3"/>
      <c r="E10" s="3"/>
      <c r="F10" s="3">
        <v>0.58333333333333337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93</v>
      </c>
      <c r="B11" s="2" t="s">
        <v>23</v>
      </c>
      <c r="C11" s="3">
        <v>0.33333333333333331</v>
      </c>
      <c r="D11" s="3"/>
      <c r="E11" s="3"/>
      <c r="F11" s="3">
        <v>0.54166666666666663</v>
      </c>
      <c r="G11" s="2" t="s">
        <v>22</v>
      </c>
      <c r="H11" s="2" t="s">
        <v>11</v>
      </c>
      <c r="I11" s="2" t="s">
        <v>12</v>
      </c>
    </row>
    <row r="12" spans="1:9" x14ac:dyDescent="0.3">
      <c r="A12" s="5">
        <v>94</v>
      </c>
      <c r="B12" s="2" t="s">
        <v>24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12</v>
      </c>
    </row>
    <row r="13" spans="1:9" x14ac:dyDescent="0.3">
      <c r="A13" s="5">
        <v>96</v>
      </c>
      <c r="B13" s="2" t="s">
        <v>25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97</v>
      </c>
      <c r="B14" s="2" t="s">
        <v>26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10</v>
      </c>
      <c r="H14" s="2" t="s">
        <v>11</v>
      </c>
      <c r="I14" s="2" t="s">
        <v>19</v>
      </c>
    </row>
    <row r="15" spans="1:9" x14ac:dyDescent="0.3">
      <c r="A15" s="5">
        <v>99</v>
      </c>
      <c r="B15" s="2" t="s">
        <v>27</v>
      </c>
      <c r="C15" s="3">
        <v>0.33333333333333331</v>
      </c>
      <c r="D15" s="3"/>
      <c r="E15" s="3"/>
      <c r="F15" s="3">
        <v>0.58333333333333337</v>
      </c>
      <c r="G15" s="2" t="s">
        <v>22</v>
      </c>
      <c r="H15" s="2" t="s">
        <v>11</v>
      </c>
      <c r="I15" s="2" t="s">
        <v>12</v>
      </c>
    </row>
    <row r="16" spans="1:9" x14ac:dyDescent="0.3">
      <c r="A16" s="5">
        <v>100</v>
      </c>
      <c r="B16" s="2" t="s">
        <v>28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19</v>
      </c>
    </row>
    <row r="17" spans="1:9" x14ac:dyDescent="0.3">
      <c r="A17" s="5">
        <v>101</v>
      </c>
      <c r="B17" s="2" t="s">
        <v>29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14</v>
      </c>
    </row>
    <row r="18" spans="1:9" x14ac:dyDescent="0.3">
      <c r="A18" s="5">
        <v>105</v>
      </c>
      <c r="B18" s="2" t="s">
        <v>30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10</v>
      </c>
      <c r="H18" s="2" t="s">
        <v>11</v>
      </c>
      <c r="I18" s="2" t="s">
        <v>19</v>
      </c>
    </row>
    <row r="19" spans="1:9" x14ac:dyDescent="0.3">
      <c r="A19" s="5">
        <v>106</v>
      </c>
      <c r="B19" s="2" t="s">
        <v>31</v>
      </c>
      <c r="C19" s="3">
        <v>0.33333333333333331</v>
      </c>
      <c r="D19" s="3">
        <v>0.5</v>
      </c>
      <c r="E19" s="3"/>
      <c r="F19" s="3"/>
      <c r="G19" s="2" t="s">
        <v>10</v>
      </c>
      <c r="H19" s="2" t="s">
        <v>11</v>
      </c>
      <c r="I19" s="2" t="s">
        <v>12</v>
      </c>
    </row>
    <row r="20" spans="1:9" x14ac:dyDescent="0.3">
      <c r="A20" s="5">
        <v>107</v>
      </c>
      <c r="B20" s="2" t="s">
        <v>32</v>
      </c>
      <c r="C20" s="3">
        <v>0.375</v>
      </c>
      <c r="D20" s="3"/>
      <c r="E20" s="3"/>
      <c r="F20" s="3">
        <v>0.625</v>
      </c>
      <c r="G20" s="2" t="s">
        <v>22</v>
      </c>
      <c r="H20" s="2" t="s">
        <v>11</v>
      </c>
      <c r="I20" s="2" t="s">
        <v>33</v>
      </c>
    </row>
    <row r="21" spans="1:9" x14ac:dyDescent="0.3">
      <c r="A21" s="5">
        <v>108</v>
      </c>
      <c r="B21" s="2" t="s">
        <v>34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109</v>
      </c>
      <c r="B22" s="2" t="s">
        <v>35</v>
      </c>
      <c r="C22" s="3">
        <v>0.27083333333333331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14</v>
      </c>
    </row>
    <row r="23" spans="1:9" x14ac:dyDescent="0.3">
      <c r="A23" s="5">
        <v>111</v>
      </c>
      <c r="B23" s="2" t="s">
        <v>36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19</v>
      </c>
    </row>
    <row r="24" spans="1:9" x14ac:dyDescent="0.3">
      <c r="A24" s="5">
        <v>113</v>
      </c>
      <c r="B24" s="2" t="s">
        <v>37</v>
      </c>
      <c r="C24" s="3">
        <v>0.3125</v>
      </c>
      <c r="D24" s="3">
        <v>0.5</v>
      </c>
      <c r="E24" s="3">
        <v>0.5625</v>
      </c>
      <c r="F24" s="3">
        <v>0.75</v>
      </c>
      <c r="G24" s="2" t="s">
        <v>10</v>
      </c>
      <c r="H24" s="2" t="s">
        <v>11</v>
      </c>
      <c r="I24" s="2" t="s">
        <v>33</v>
      </c>
    </row>
    <row r="25" spans="1:9" x14ac:dyDescent="0.3">
      <c r="A25" s="5">
        <v>117</v>
      </c>
      <c r="B25" s="2" t="s">
        <v>39</v>
      </c>
      <c r="C25" s="3">
        <v>0.27083333333333331</v>
      </c>
      <c r="D25" s="3">
        <v>0.5</v>
      </c>
      <c r="E25" s="3">
        <v>0.5625</v>
      </c>
      <c r="F25" s="3">
        <v>0.75</v>
      </c>
      <c r="G25" s="2"/>
      <c r="H25" s="2" t="s">
        <v>11</v>
      </c>
      <c r="I25" s="2" t="s">
        <v>14</v>
      </c>
    </row>
    <row r="26" spans="1:9" x14ac:dyDescent="0.3">
      <c r="A26" s="5">
        <v>118</v>
      </c>
      <c r="B26" s="2" t="s">
        <v>40</v>
      </c>
      <c r="C26" s="3">
        <v>0.3125</v>
      </c>
      <c r="D26" s="3">
        <v>0.5</v>
      </c>
      <c r="E26" s="3"/>
      <c r="F26" s="3"/>
      <c r="G26" s="2" t="s">
        <v>22</v>
      </c>
      <c r="H26" s="2" t="s">
        <v>95</v>
      </c>
      <c r="I26" s="2" t="s">
        <v>12</v>
      </c>
    </row>
    <row r="27" spans="1:9" x14ac:dyDescent="0.3">
      <c r="A27" s="5">
        <v>119</v>
      </c>
      <c r="B27" s="2" t="s">
        <v>41</v>
      </c>
      <c r="C27" s="3">
        <v>0.375</v>
      </c>
      <c r="D27" s="3"/>
      <c r="E27" s="3"/>
      <c r="F27" s="3">
        <v>0.70833333333333337</v>
      </c>
      <c r="G27" s="2" t="s">
        <v>22</v>
      </c>
      <c r="H27" s="2" t="s">
        <v>11</v>
      </c>
      <c r="I27" s="2" t="s">
        <v>12</v>
      </c>
    </row>
    <row r="28" spans="1:9" x14ac:dyDescent="0.3">
      <c r="A28" s="5">
        <v>120</v>
      </c>
      <c r="B28" s="2" t="s">
        <v>42</v>
      </c>
      <c r="C28" s="3">
        <v>0.33333333333333331</v>
      </c>
      <c r="D28" s="3">
        <v>0.5</v>
      </c>
      <c r="E28" s="3">
        <v>0.58333333333333337</v>
      </c>
      <c r="F28" s="3">
        <v>0.75</v>
      </c>
      <c r="G28" s="2"/>
      <c r="H28" s="2" t="s">
        <v>11</v>
      </c>
      <c r="I28" s="2" t="s">
        <v>38</v>
      </c>
    </row>
    <row r="29" spans="1:9" x14ac:dyDescent="0.3">
      <c r="A29" s="5">
        <v>121</v>
      </c>
      <c r="B29" s="2" t="s">
        <v>43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38</v>
      </c>
    </row>
    <row r="1048570" spans="7:7" x14ac:dyDescent="0.3">
      <c r="G1048570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0" sqref="D1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44</v>
      </c>
      <c r="B1" s="6"/>
      <c r="C1" s="6" t="s">
        <v>45</v>
      </c>
      <c r="E1" s="6" t="s">
        <v>46</v>
      </c>
    </row>
    <row r="2" spans="1:5" x14ac:dyDescent="0.3">
      <c r="A2" t="s">
        <v>86</v>
      </c>
      <c r="C2" t="s">
        <v>48</v>
      </c>
      <c r="E2" s="7" t="s">
        <v>49</v>
      </c>
    </row>
    <row r="3" spans="1:5" x14ac:dyDescent="0.3">
      <c r="A3" t="s">
        <v>87</v>
      </c>
      <c r="C3" t="s">
        <v>51</v>
      </c>
      <c r="E3" s="7" t="s">
        <v>52</v>
      </c>
    </row>
    <row r="4" spans="1:5" x14ac:dyDescent="0.3">
      <c r="A4" t="s">
        <v>47</v>
      </c>
      <c r="C4" t="s">
        <v>54</v>
      </c>
      <c r="E4" s="7" t="s">
        <v>55</v>
      </c>
    </row>
    <row r="5" spans="1:5" x14ac:dyDescent="0.3">
      <c r="A5" t="s">
        <v>88</v>
      </c>
      <c r="E5" s="7" t="s">
        <v>57</v>
      </c>
    </row>
    <row r="6" spans="1:5" x14ac:dyDescent="0.3">
      <c r="A6" t="s">
        <v>89</v>
      </c>
      <c r="E6" s="7" t="s">
        <v>59</v>
      </c>
    </row>
    <row r="7" spans="1:5" x14ac:dyDescent="0.3">
      <c r="A7" t="s">
        <v>90</v>
      </c>
    </row>
    <row r="8" spans="1:5" x14ac:dyDescent="0.3">
      <c r="A8" t="s">
        <v>91</v>
      </c>
    </row>
    <row r="9" spans="1:5" x14ac:dyDescent="0.3">
      <c r="A9" t="s">
        <v>92</v>
      </c>
    </row>
    <row r="10" spans="1:5" x14ac:dyDescent="0.3">
      <c r="A10" t="s">
        <v>60</v>
      </c>
    </row>
    <row r="11" spans="1:5" x14ac:dyDescent="0.3">
      <c r="A11" t="s">
        <v>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tabSelected="1" workbookViewId="0">
      <selection activeCell="I9" sqref="I9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65</v>
      </c>
      <c r="B1" s="11" t="s">
        <v>66</v>
      </c>
      <c r="C1" s="11" t="s">
        <v>67</v>
      </c>
      <c r="D1" s="11" t="s">
        <v>68</v>
      </c>
      <c r="E1" s="11" t="s">
        <v>69</v>
      </c>
      <c r="F1" s="11" t="s">
        <v>70</v>
      </c>
      <c r="G1" s="11" t="s">
        <v>71</v>
      </c>
      <c r="H1" s="11" t="s">
        <v>72</v>
      </c>
      <c r="I1" s="11" t="s">
        <v>73</v>
      </c>
      <c r="J1" s="11" t="s">
        <v>74</v>
      </c>
      <c r="K1" s="11" t="s">
        <v>75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47</v>
      </c>
      <c r="F2" s="9">
        <v>46140</v>
      </c>
      <c r="G2" s="9">
        <v>46140</v>
      </c>
      <c r="H2" s="10">
        <f>IF(OR(F2="",G2=""),"",G2-F2+1)</f>
        <v>1</v>
      </c>
      <c r="I2" s="7" t="s">
        <v>51</v>
      </c>
      <c r="J2" s="7"/>
      <c r="K2" s="7" t="str">
        <f t="shared" ref="K2:K32" si="0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60</v>
      </c>
      <c r="F3" s="9">
        <v>46143</v>
      </c>
      <c r="G3" s="9">
        <v>46143</v>
      </c>
      <c r="H3" s="10">
        <f t="shared" ref="H3:H65" si="1">IF(OR(F3="",G3=""),"",G3-F3+1)</f>
        <v>1</v>
      </c>
      <c r="I3" s="7" t="s">
        <v>51</v>
      </c>
      <c r="J3" s="7"/>
      <c r="K3" s="7" t="str">
        <f t="shared" si="0"/>
        <v>1|20260501|20260501</v>
      </c>
    </row>
    <row r="4" spans="1:11" x14ac:dyDescent="0.3">
      <c r="A4" s="7">
        <v>82</v>
      </c>
      <c r="B4" s="7" t="str">
        <f>IF(A4="","",IFERROR(VLOOKUP(A4,Empleados!A:B,2,FALSE),""))</f>
        <v>Godoy Denis</v>
      </c>
      <c r="C4" s="7" t="str">
        <f>IF(A4="","",IFERROR(VLOOKUP(A4,Empleados!A:I,9,FALSE),""))</f>
        <v>Metalurgica</v>
      </c>
      <c r="D4" s="7" t="str">
        <f>IF(A4="","",IFERROR(VLOOKUP(A4,Empleados!A:H,8,FALSE),""))</f>
        <v>lunes a viernes</v>
      </c>
      <c r="E4" s="7" t="s">
        <v>93</v>
      </c>
      <c r="F4" s="9">
        <v>46146</v>
      </c>
      <c r="G4" s="9">
        <v>46173</v>
      </c>
      <c r="H4" s="10">
        <f t="shared" si="1"/>
        <v>28</v>
      </c>
      <c r="I4" s="7" t="s">
        <v>51</v>
      </c>
      <c r="J4" s="7"/>
      <c r="K4" s="7" t="str">
        <f t="shared" si="0"/>
        <v>82|20260504|20260531</v>
      </c>
    </row>
    <row r="5" spans="1:11" x14ac:dyDescent="0.3">
      <c r="A5" s="7">
        <v>52</v>
      </c>
      <c r="B5" s="7" t="str">
        <f>IF(A5="","",IFERROR(VLOOKUP(A5,Empleados!A:B,2,FALSE),""))</f>
        <v>Mario Butto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93</v>
      </c>
      <c r="F5" s="9">
        <v>46146</v>
      </c>
      <c r="G5" s="9">
        <v>46173</v>
      </c>
      <c r="H5" s="10">
        <f t="shared" si="1"/>
        <v>28</v>
      </c>
      <c r="I5" s="7" t="s">
        <v>51</v>
      </c>
      <c r="J5" s="7"/>
      <c r="K5" s="7" t="str">
        <f t="shared" si="0"/>
        <v>52|20260504|20260531</v>
      </c>
    </row>
    <row r="6" spans="1:11" x14ac:dyDescent="0.3">
      <c r="A6" s="7">
        <v>1</v>
      </c>
      <c r="B6" s="7" t="str">
        <f>IF(A6="","",IFERROR(VLOOKUP(A6,Empleados!A:B,2,FALSE),""))</f>
        <v>Todos</v>
      </c>
      <c r="C6" s="7">
        <f>IF(A6="","",IFERROR(VLOOKUP(A6,Empleados!A:I,9,FALSE),""))</f>
        <v>0</v>
      </c>
      <c r="D6" s="7">
        <f>IF(A6="","",IFERROR(VLOOKUP(A6,Empleados!A:H,8,FALSE),""))</f>
        <v>0</v>
      </c>
      <c r="E6" s="7" t="s">
        <v>60</v>
      </c>
      <c r="F6" s="9">
        <v>46167</v>
      </c>
      <c r="G6" s="9">
        <v>46167</v>
      </c>
      <c r="H6" s="10">
        <f t="shared" si="1"/>
        <v>1</v>
      </c>
      <c r="I6" s="7" t="s">
        <v>51</v>
      </c>
      <c r="J6" s="7"/>
      <c r="K6" s="7" t="str">
        <f t="shared" si="0"/>
        <v>1|20260525|20260525</v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ref="I6:I65" si="2">IF(A7="","","PENDIENTE")</f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ref="K33:K64" si="3">IF(A33="","",A33&amp;"|"&amp;TEXT(F33,"yyyymmdd")&amp;"|"&amp;TEXT(G33,"yyyymmdd"))</f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si="3"/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ref="K65:K96" si="4">IF(A65="","",A65&amp;"|"&amp;TEXT(F65,"yyyymmdd")&amp;"|"&amp;TEXT(G65,"yyyymmdd"))</f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ref="H66:H129" si="5">IF(OR(F66="",G66=""),"",G66-F66+1)</f>
        <v/>
      </c>
      <c r="I66" s="7" t="str">
        <f t="shared" ref="I66:I129" si="6">IF(A66="","","PENDIENTE")</f>
        <v/>
      </c>
      <c r="J66" s="7"/>
      <c r="K66" s="7" t="str">
        <f t="shared" si="4"/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si="5"/>
        <v/>
      </c>
      <c r="I67" s="7" t="str">
        <f t="shared" si="6"/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ref="K97:K128" si="7">IF(A97="","",A97&amp;"|"&amp;TEXT(F97,"yyyymmdd")&amp;"|"&amp;TEXT(G97,"yyyymmdd"))</f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si="7"/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ref="K129:K160" si="8">IF(A129="","",A129&amp;"|"&amp;TEXT(F129,"yyyymmdd")&amp;"|"&amp;TEXT(G129,"yyyymmdd"))</f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ref="H130:H193" si="9">IF(OR(F130="",G130=""),"",G130-F130+1)</f>
        <v/>
      </c>
      <c r="I130" s="7" t="str">
        <f t="shared" ref="I130:I193" si="10">IF(A130="","","PENDIENTE")</f>
        <v/>
      </c>
      <c r="J130" s="7"/>
      <c r="K130" s="7" t="str">
        <f t="shared" si="8"/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si="9"/>
        <v/>
      </c>
      <c r="I131" s="7" t="str">
        <f t="shared" si="10"/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ref="K161:K192" si="11">IF(A161="","",A161&amp;"|"&amp;TEXT(F161,"yyyymmdd")&amp;"|"&amp;TEXT(G161,"yyyymmdd"))</f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si="11"/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ref="K193:K200" si="12">IF(A193="","",A193&amp;"|"&amp;TEXT(F193,"yyyymmdd")&amp;"|"&amp;TEXT(G193,"yyyymmdd"))</f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ref="H194:H200" si="13">IF(OR(F194="",G194=""),"",G194-F194+1)</f>
        <v/>
      </c>
      <c r="I194" s="7" t="str">
        <f t="shared" ref="I194:I200" si="14">IF(A194="","","PENDIENTE")</f>
        <v/>
      </c>
      <c r="J194" s="7"/>
      <c r="K194" s="7" t="str">
        <f t="shared" si="12"/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si="13"/>
        <v/>
      </c>
      <c r="I195" s="7" t="str">
        <f t="shared" si="14"/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</sheetData>
  <conditionalFormatting sqref="E2:E200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0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1000000}">
          <x14:formula1>
            <xm:f>Config!$A$2:$A$11</xm:f>
          </x14:formula1>
          <xm:sqref>E2:E200</xm:sqref>
        </x14:dataValidation>
        <x14:dataValidation type="list" xr:uid="{00000000-0002-0000-0200-000002000000}">
          <x14:formula1>
            <xm:f>Config!$C$2:$C$6</xm:f>
          </x14:formula1>
          <xm:sqref>I2:I200</xm:sqref>
        </x14:dataValidation>
        <x14:dataValidation type="list" allowBlank="1" xr:uid="{52901C7F-A1CD-44B1-99A3-8F2BF634D822}">
          <x14:formula1>
            <xm:f>Config!$A:$A</xm:f>
          </x14:formula1>
          <xm:sqref>E2:E200</xm:sqref>
        </x14:dataValidation>
        <x14:dataValidation type="list" xr:uid="{00000000-0002-0000-0200-000000000000}">
          <x14:formula1>
            <xm:f>Empleados!$A$3:$A$29</xm:f>
          </x14:formula1>
          <xm:sqref>A2:A200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E9" sqref="E9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3" t="s">
        <v>76</v>
      </c>
      <c r="B1" s="14"/>
      <c r="C1" s="14"/>
      <c r="D1" s="14"/>
    </row>
    <row r="3" spans="1:5" x14ac:dyDescent="0.3">
      <c r="A3" s="6" t="s">
        <v>77</v>
      </c>
      <c r="B3" s="6" t="s">
        <v>78</v>
      </c>
      <c r="D3" s="6" t="s">
        <v>79</v>
      </c>
      <c r="E3" s="6" t="s">
        <v>80</v>
      </c>
    </row>
    <row r="4" spans="1:5" x14ac:dyDescent="0.3">
      <c r="A4" t="s">
        <v>81</v>
      </c>
      <c r="B4" s="8">
        <f>COUNTA(Ausencias!A2:A200)</f>
        <v>5</v>
      </c>
      <c r="D4" t="s">
        <v>47</v>
      </c>
      <c r="E4">
        <f>COUNTIF(Ausencias!E2:E200,"VACACIONES")</f>
        <v>1</v>
      </c>
    </row>
    <row r="5" spans="1:5" x14ac:dyDescent="0.3">
      <c r="A5" t="s">
        <v>82</v>
      </c>
      <c r="B5" s="8">
        <f>SUM(Ausencias!H2:H200)</f>
        <v>59</v>
      </c>
      <c r="D5" t="s">
        <v>50</v>
      </c>
      <c r="E5">
        <f>COUNTIF(Ausencias!E2:E200,"ENFERMEDAD")</f>
        <v>0</v>
      </c>
    </row>
    <row r="6" spans="1:5" x14ac:dyDescent="0.3">
      <c r="A6" t="s">
        <v>83</v>
      </c>
      <c r="B6" s="8">
        <f>COUNTIF(Ausencias!I2:I200,"PENDIENTE")</f>
        <v>0</v>
      </c>
      <c r="D6" t="s">
        <v>53</v>
      </c>
      <c r="E6">
        <f>COUNTIF(Ausencias!E2:E200,"ART")</f>
        <v>0</v>
      </c>
    </row>
    <row r="7" spans="1:5" x14ac:dyDescent="0.3">
      <c r="A7" t="s">
        <v>84</v>
      </c>
      <c r="B7" s="8">
        <f>COUNTIF(Ausencias!I2:I200,"APROBADO")</f>
        <v>5</v>
      </c>
      <c r="D7" t="s">
        <v>56</v>
      </c>
      <c r="E7">
        <f>COUNTIF(Ausencias!E2:E200,"PERMISO")</f>
        <v>0</v>
      </c>
    </row>
    <row r="8" spans="1:5" x14ac:dyDescent="0.3">
      <c r="A8" t="s">
        <v>85</v>
      </c>
      <c r="B8" s="8">
        <f>COUNTIF(Ausencias!E2:E200,"VACACIONES")</f>
        <v>1</v>
      </c>
      <c r="D8" t="s">
        <v>58</v>
      </c>
      <c r="E8">
        <f>COUNTIF(Ausencias!E2:E200,"FRANCO")</f>
        <v>0</v>
      </c>
    </row>
    <row r="9" spans="1:5" x14ac:dyDescent="0.3">
      <c r="D9" t="s">
        <v>60</v>
      </c>
      <c r="E9">
        <f>COUNTIF(Ausencias!E2:E200,"FERIADO")</f>
        <v>2</v>
      </c>
    </row>
    <row r="10" spans="1:5" x14ac:dyDescent="0.3">
      <c r="D10" t="s">
        <v>61</v>
      </c>
      <c r="E10">
        <f>COUNTIF(Ausencias!E2:E200,"HOME OFFICE")</f>
        <v>0</v>
      </c>
    </row>
    <row r="11" spans="1:5" x14ac:dyDescent="0.3">
      <c r="D11" t="s">
        <v>62</v>
      </c>
      <c r="E11">
        <f>COUNTIF(Ausencias!E2:E200,"SUSPENSION")</f>
        <v>0</v>
      </c>
    </row>
    <row r="12" spans="1:5" x14ac:dyDescent="0.3">
      <c r="D12" t="s">
        <v>63</v>
      </c>
      <c r="E12">
        <f>COUNTIF(Ausencias!E2:E200,"AUSENCIA JUSTIFICADA")</f>
        <v>0</v>
      </c>
    </row>
    <row r="13" spans="1:5" x14ac:dyDescent="0.3">
      <c r="D13" t="s">
        <v>64</v>
      </c>
      <c r="E13">
        <f>COUNTIF(Ausencias!E2:E200,"OTRO")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2026-05-15T13:28:24Z</dcterms:modified>
</cp:coreProperties>
</file>