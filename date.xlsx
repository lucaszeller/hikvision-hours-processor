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13_ncr:1_{8F1BA4F7-B885-4A71-8880-71DB8557152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mpleados" sheetId="1" r:id="rId1"/>
    <sheet name="Config" sheetId="2" r:id="rId2"/>
    <sheet name="Ausencias" sheetId="3" r:id="rId3"/>
    <sheet name="Resum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E13" i="4"/>
  <c r="E12" i="4"/>
  <c r="E11" i="4"/>
  <c r="E10" i="4"/>
  <c r="E9" i="4"/>
  <c r="E8" i="4"/>
  <c r="B8" i="4"/>
  <c r="E7" i="4"/>
  <c r="E6" i="4"/>
  <c r="E5" i="4"/>
  <c r="E4" i="4"/>
  <c r="B4" i="4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B5" i="4" l="1"/>
  <c r="B7" i="4"/>
  <c r="B6" i="4"/>
</calcChain>
</file>

<file path=xl/sharedStrings.xml><?xml version="1.0" encoding="utf-8"?>
<sst xmlns="http://schemas.openxmlformats.org/spreadsheetml/2006/main" count="172" uniqueCount="96">
  <si>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</si>
  <si>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</si>
  <si>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</si>
  <si>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</si>
  <si>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</si>
  <si>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</si>
  <si>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</si>
  <si>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</si>
  <si>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</si>
  <si>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</si>
  <si>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</si>
  <si>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</si>
  <si>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</si>
  <si>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</si>
  <si>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</si>
  <si>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</si>
  <si>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</si>
  <si>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</si>
  <si>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</si>
  <si>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</si>
  <si>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</si>
  <si>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</si>
  <si>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</si>
  <si>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</si>
  <si>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</si>
  <si>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</si>
  <si>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</si>
  <si>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</si>
  <si>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</si>
  <si>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</si>
  <si>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</si>
  <si>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Bustamante Marianela</t>
  </si>
  <si>
    <t>Juarez Paulina</t>
  </si>
  <si>
    <t>Maestranza</t>
  </si>
  <si>
    <t>Bruno Daniel</t>
  </si>
  <si>
    <t>Acosta Renzo</t>
  </si>
  <si>
    <t>Borgognoni Tomas</t>
  </si>
  <si>
    <t>Pelliza Roque</t>
  </si>
  <si>
    <t>Gallegos Lucas</t>
  </si>
  <si>
    <t>Pasante</t>
  </si>
  <si>
    <t>Mansilla Luis Gabriel</t>
  </si>
  <si>
    <t>Zeller Lucas Ezequiel</t>
  </si>
  <si>
    <t>lunes a miercoles</t>
  </si>
  <si>
    <t>Lencina Rocio Pilar</t>
  </si>
  <si>
    <t>Palacios Claudio Ezequiel</t>
  </si>
  <si>
    <t>Aguille Lorenzo</t>
  </si>
  <si>
    <t>Tipos de ausencia</t>
  </si>
  <si>
    <t>Estados posibles</t>
  </si>
  <si>
    <t>Instrucciones</t>
  </si>
  <si>
    <t>VACACIONES</t>
  </si>
  <si>
    <t>PENDIENTE</t>
  </si>
  <si>
    <t>1) En la hoja Ausencias cargá solo Legajo, Tipo, Fecha desde y Fecha hasta.</t>
  </si>
  <si>
    <t>ENFERMEDAD</t>
  </si>
  <si>
    <t>APROBADO</t>
  </si>
  <si>
    <t>2) Nombre, Grupo, Días y Horarios se completan solos desde Empleados.</t>
  </si>
  <si>
    <t>ART</t>
  </si>
  <si>
    <t>RECHAZADO</t>
  </si>
  <si>
    <t>3) Usá Estado para controlar si está aprobado o pendiente.</t>
  </si>
  <si>
    <t>PERMISO</t>
  </si>
  <si>
    <t>4) No modifiques la hoja Empleados salvo que cambie un horario o ingrese/baje personal.</t>
  </si>
  <si>
    <t>FRANCO</t>
  </si>
  <si>
    <t>5) Esta plantilla queda lista para que tu app Python cruce ausencias contra las fichadas de Hikvision.</t>
  </si>
  <si>
    <t>FERIADO</t>
  </si>
  <si>
    <t>HOME OFFICE</t>
  </si>
  <si>
    <t>SUSPENSION</t>
  </si>
  <si>
    <t>AUSENCIA JUSTIFICADA</t>
  </si>
  <si>
    <t>OTRO</t>
  </si>
  <si>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</si>
  <si>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</si>
  <si>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</si>
  <si>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</si>
  <si>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</si>
  <si>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</si>
  <si>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</si>
  <si>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</si>
  <si>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</si>
  <si>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</si>
  <si>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</si>
  <si>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Resumen de ausencias</t>
  </si>
  <si>
    <t>Métrica</t>
  </si>
  <si>
    <t>Valor</t>
  </si>
  <si>
    <t>Tipo</t>
  </si>
  <si>
    <t>Cantidad</t>
  </si>
  <si>
    <t>Registros cargados</t>
  </si>
  <si>
    <t>Días corridos cargados</t>
  </si>
  <si>
    <t>Pendientes</t>
  </si>
  <si>
    <t>Aprobadas</t>
  </si>
  <si>
    <t>Vacaciones</t>
  </si>
  <si>
    <t>DOMINGO</t>
  </si>
  <si>
    <t>AUSENCIA</t>
  </si>
  <si>
    <t>ESTUDIAR</t>
  </si>
  <si>
    <t>CAPACITACIONES</t>
  </si>
  <si>
    <t>SUSPENCION</t>
  </si>
  <si>
    <t>NO TRABAJADO</t>
  </si>
  <si>
    <t>LICENCIA</t>
  </si>
  <si>
    <t>ACCIDENTE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</si>
</sst>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4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3" fillId="3" borderId="0" xfId="0" applyFont="1" applyFill="1" applyBorder="1" applyAlignment="1">
      <alignment horizontal="center" vertical="center" wrapText="1"/>
    </xf>
    <xf numFmtId="0" fontId="2" fillId="2" borderId="2" xfId="0" applyFont="1" applyFill="1" applyAlignment="1">
      <alignment horizontal="center"/>
    </xf>
    <xf numFmtId="0" fontId="0" fillId="0" borderId="2" xfId="0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r>
              <a:rPr lang="es-AR"/>
              <a:t>Ausencias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Resumen!$D$4:$D$13</c:f>
              <c:strCache>
                <c:ptCount val="10"/>
                <c:pt idx="0">
                  <c:v>VACACIONES</c:v>
                </c:pt>
                <c:pt idx="1">
                  <c:v>ENFERMEDAD</c:v>
                </c:pt>
                <c:pt idx="2">
                  <c:v>ART</c:v>
                </c:pt>
                <c:pt idx="3">
                  <c:v>PERMISO</c:v>
                </c:pt>
                <c:pt idx="4">
                  <c:v>FRANCO</c:v>
                </c:pt>
                <c:pt idx="5">
                  <c:v>FERIADO</c:v>
                </c:pt>
                <c:pt idx="6">
                  <c:v>HOME OFFICE</c:v>
                </c:pt>
                <c:pt idx="7">
                  <c:v>SUSPENSION</c:v>
                </c:pt>
                <c:pt idx="8">
                  <c:v>AUSENCIA JUSTIFICADA</c:v>
                </c:pt>
                <c:pt idx="9">
                  <c:v>OTRO</c:v>
                </c:pt>
              </c:strCache>
            </c:strRef>
          </c:cat>
          <c:val>
            <c:numRef>
              <c:f>Resumen!$E$4:$E$13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67-4DFF-8AE2-A5641916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29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201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0"/>
  <sheetViews>
    <sheetView workbookViewId="0"/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18" style="1" customWidth="1"/>
    <col min="9" max="9" width="20" style="1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20</v>
      </c>
      <c r="B2" s="2" t="s">
        <v>9</v>
      </c>
      <c r="C2" s="3">
        <v>0.3125</v>
      </c>
      <c r="D2" s="3">
        <v>0.5</v>
      </c>
      <c r="E2" s="3">
        <v>0.55208333333333337</v>
      </c>
      <c r="F2" s="3">
        <v>0.73958333333333337</v>
      </c>
      <c r="G2" s="2" t="s">
        <v>10</v>
      </c>
      <c r="H2" s="2" t="s">
        <v>11</v>
      </c>
      <c r="I2" s="2" t="s">
        <v>12</v>
      </c>
    </row>
    <row r="3" spans="1:9" x14ac:dyDescent="0.3">
      <c r="A3" s="5">
        <v>43</v>
      </c>
      <c r="B3" s="2" t="s">
        <v>13</v>
      </c>
      <c r="C3" s="3">
        <v>0.27083333333333331</v>
      </c>
      <c r="D3" s="3">
        <v>0.5</v>
      </c>
      <c r="E3" s="3">
        <v>0.5625</v>
      </c>
      <c r="F3" s="3">
        <v>0.75</v>
      </c>
      <c r="G3" s="2" t="s">
        <v>10</v>
      </c>
      <c r="H3" s="2" t="s">
        <v>11</v>
      </c>
      <c r="I3" s="2" t="s">
        <v>14</v>
      </c>
    </row>
    <row r="4" spans="1:9" x14ac:dyDescent="0.3">
      <c r="A4" s="5">
        <v>51</v>
      </c>
      <c r="B4" s="2" t="s">
        <v>15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10</v>
      </c>
      <c r="H4" s="2" t="s">
        <v>11</v>
      </c>
      <c r="I4" s="2" t="s">
        <v>14</v>
      </c>
    </row>
    <row r="5" spans="1:9" x14ac:dyDescent="0.3">
      <c r="A5" s="5">
        <v>52</v>
      </c>
      <c r="B5" s="2" t="s">
        <v>16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10</v>
      </c>
      <c r="H5" s="2" t="s">
        <v>11</v>
      </c>
      <c r="I5" s="2" t="s">
        <v>14</v>
      </c>
    </row>
    <row r="6" spans="1:9" x14ac:dyDescent="0.3">
      <c r="A6" s="5">
        <v>67</v>
      </c>
      <c r="B6" s="2" t="s">
        <v>17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10</v>
      </c>
      <c r="H6" s="2" t="s">
        <v>11</v>
      </c>
      <c r="I6" s="2" t="s">
        <v>14</v>
      </c>
    </row>
    <row r="7" spans="1:9" x14ac:dyDescent="0.3">
      <c r="A7" s="5">
        <v>79</v>
      </c>
      <c r="B7" s="2" t="s">
        <v>18</v>
      </c>
      <c r="C7" s="3">
        <v>0.3125</v>
      </c>
      <c r="D7" s="3">
        <v>0.5</v>
      </c>
      <c r="E7" s="3">
        <v>0.5625</v>
      </c>
      <c r="F7" s="3">
        <v>0.75</v>
      </c>
      <c r="G7" s="2" t="s">
        <v>10</v>
      </c>
      <c r="H7" s="2" t="s">
        <v>11</v>
      </c>
      <c r="I7" s="2" t="s">
        <v>19</v>
      </c>
    </row>
    <row r="8" spans="1:9" x14ac:dyDescent="0.3">
      <c r="A8" s="5">
        <v>82</v>
      </c>
      <c r="B8" s="2" t="s">
        <v>20</v>
      </c>
      <c r="C8" s="3">
        <v>0.27083333333333331</v>
      </c>
      <c r="D8" s="3">
        <v>0.5</v>
      </c>
      <c r="E8" s="3">
        <v>0.5625</v>
      </c>
      <c r="F8" s="3">
        <v>0.75</v>
      </c>
      <c r="G8" s="2" t="s">
        <v>10</v>
      </c>
      <c r="H8" s="2" t="s">
        <v>11</v>
      </c>
      <c r="I8" s="2" t="s">
        <v>14</v>
      </c>
    </row>
    <row r="9" spans="1:9" x14ac:dyDescent="0.3">
      <c r="A9" s="5">
        <v>83</v>
      </c>
      <c r="B9" s="2" t="s">
        <v>21</v>
      </c>
      <c r="C9" s="3">
        <v>0.29166666666666669</v>
      </c>
      <c r="D9" s="3"/>
      <c r="E9" s="3"/>
      <c r="F9" s="3">
        <v>0.58333333333333337</v>
      </c>
      <c r="G9" s="2" t="s">
        <v>22</v>
      </c>
      <c r="H9" s="2" t="s">
        <v>11</v>
      </c>
      <c r="I9" s="2" t="s">
        <v>12</v>
      </c>
    </row>
    <row r="10" spans="1:9" x14ac:dyDescent="0.3">
      <c r="A10" s="5">
        <v>93</v>
      </c>
      <c r="B10" s="2" t="s">
        <v>23</v>
      </c>
      <c r="C10" s="3">
        <v>0.33333333333333331</v>
      </c>
      <c r="D10" s="3"/>
      <c r="E10" s="3"/>
      <c r="F10" s="3">
        <v>0.54166666666666663</v>
      </c>
      <c r="G10" s="2" t="s">
        <v>22</v>
      </c>
      <c r="H10" s="2" t="s">
        <v>11</v>
      </c>
      <c r="I10" s="2" t="s">
        <v>12</v>
      </c>
    </row>
    <row r="11" spans="1:9" x14ac:dyDescent="0.3">
      <c r="A11" s="5">
        <v>94</v>
      </c>
      <c r="B11" s="2" t="s">
        <v>24</v>
      </c>
      <c r="C11" s="3">
        <v>0.3125</v>
      </c>
      <c r="D11" s="3">
        <v>0.5</v>
      </c>
      <c r="E11" s="3">
        <v>0.5625</v>
      </c>
      <c r="F11" s="3">
        <v>0.75</v>
      </c>
      <c r="G11" s="2" t="s">
        <v>10</v>
      </c>
      <c r="H11" s="2" t="s">
        <v>11</v>
      </c>
      <c r="I11" s="2" t="s">
        <v>12</v>
      </c>
    </row>
    <row r="12" spans="1:9" x14ac:dyDescent="0.3">
      <c r="A12" s="5">
        <v>96</v>
      </c>
      <c r="B12" s="2" t="s">
        <v>25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10</v>
      </c>
      <c r="H12" s="2" t="s">
        <v>11</v>
      </c>
      <c r="I12" s="2" t="s">
        <v>19</v>
      </c>
    </row>
    <row r="13" spans="1:9" x14ac:dyDescent="0.3">
      <c r="A13" s="5">
        <v>97</v>
      </c>
      <c r="B13" s="2" t="s">
        <v>26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10</v>
      </c>
      <c r="H13" s="2" t="s">
        <v>11</v>
      </c>
      <c r="I13" s="2" t="s">
        <v>19</v>
      </c>
    </row>
    <row r="14" spans="1:9" x14ac:dyDescent="0.3">
      <c r="A14" s="5">
        <v>99</v>
      </c>
      <c r="B14" s="2" t="s">
        <v>27</v>
      </c>
      <c r="C14" s="3">
        <v>0.33333333333333331</v>
      </c>
      <c r="D14" s="3"/>
      <c r="E14" s="3"/>
      <c r="F14" s="3">
        <v>0.58333333333333337</v>
      </c>
      <c r="G14" s="2" t="s">
        <v>22</v>
      </c>
      <c r="H14" s="2" t="s">
        <v>11</v>
      </c>
      <c r="I14" s="2" t="s">
        <v>12</v>
      </c>
    </row>
    <row r="15" spans="1:9" x14ac:dyDescent="0.3">
      <c r="A15" s="5">
        <v>100</v>
      </c>
      <c r="B15" s="2" t="s">
        <v>28</v>
      </c>
      <c r="C15" s="3">
        <v>0.3125</v>
      </c>
      <c r="D15" s="3">
        <v>0.5</v>
      </c>
      <c r="E15" s="3">
        <v>0.5625</v>
      </c>
      <c r="F15" s="3">
        <v>0.75</v>
      </c>
      <c r="G15" s="2" t="s">
        <v>10</v>
      </c>
      <c r="H15" s="2" t="s">
        <v>11</v>
      </c>
      <c r="I15" s="2" t="s">
        <v>19</v>
      </c>
    </row>
    <row r="16" spans="1:9" x14ac:dyDescent="0.3">
      <c r="A16" s="5">
        <v>101</v>
      </c>
      <c r="B16" s="2" t="s">
        <v>29</v>
      </c>
      <c r="C16" s="3">
        <v>0.27083333333333331</v>
      </c>
      <c r="D16" s="3">
        <v>0.5</v>
      </c>
      <c r="E16" s="3">
        <v>0.5625</v>
      </c>
      <c r="F16" s="3">
        <v>0.75</v>
      </c>
      <c r="G16" s="2" t="s">
        <v>10</v>
      </c>
      <c r="H16" s="2" t="s">
        <v>11</v>
      </c>
      <c r="I16" s="2" t="s">
        <v>14</v>
      </c>
    </row>
    <row r="17" spans="1:9" x14ac:dyDescent="0.3">
      <c r="A17" s="5">
        <v>105</v>
      </c>
      <c r="B17" s="2" t="s">
        <v>30</v>
      </c>
      <c r="C17" s="3">
        <v>0.3125</v>
      </c>
      <c r="D17" s="3">
        <v>0.5</v>
      </c>
      <c r="E17" s="3">
        <v>0.5625</v>
      </c>
      <c r="F17" s="3">
        <v>0.75</v>
      </c>
      <c r="G17" s="2" t="s">
        <v>10</v>
      </c>
      <c r="H17" s="2" t="s">
        <v>11</v>
      </c>
      <c r="I17" s="2" t="s">
        <v>19</v>
      </c>
    </row>
    <row r="18" spans="1:9" x14ac:dyDescent="0.3">
      <c r="A18" s="5">
        <v>106</v>
      </c>
      <c r="B18" s="2" t="s">
        <v>31</v>
      </c>
      <c r="C18" s="3">
        <v>0.33333333333333331</v>
      </c>
      <c r="D18" s="3">
        <v>0.5</v>
      </c>
      <c r="E18" s="3"/>
      <c r="F18" s="3"/>
      <c r="G18" s="2" t="s">
        <v>10</v>
      </c>
      <c r="H18" s="2" t="s">
        <v>11</v>
      </c>
      <c r="I18" s="2" t="s">
        <v>12</v>
      </c>
    </row>
    <row r="19" spans="1:9" x14ac:dyDescent="0.3">
      <c r="A19" s="5">
        <v>107</v>
      </c>
      <c r="B19" s="2" t="s">
        <v>32</v>
      </c>
      <c r="C19" s="3">
        <v>0.375</v>
      </c>
      <c r="D19" s="3"/>
      <c r="E19" s="3"/>
      <c r="F19" s="3">
        <v>0.625</v>
      </c>
      <c r="G19" s="2" t="s">
        <v>22</v>
      </c>
      <c r="H19" s="2" t="s">
        <v>11</v>
      </c>
      <c r="I19" s="2" t="s">
        <v>33</v>
      </c>
    </row>
    <row r="20" spans="1:9" x14ac:dyDescent="0.3">
      <c r="A20" s="5">
        <v>108</v>
      </c>
      <c r="B20" s="2" t="s">
        <v>34</v>
      </c>
      <c r="C20" s="3">
        <v>0.27083333333333331</v>
      </c>
      <c r="D20" s="3">
        <v>0.5</v>
      </c>
      <c r="E20" s="3">
        <v>0.5625</v>
      </c>
      <c r="F20" s="3">
        <v>0.75</v>
      </c>
      <c r="G20" s="2" t="s">
        <v>10</v>
      </c>
      <c r="H20" s="2" t="s">
        <v>11</v>
      </c>
      <c r="I20" s="2" t="s">
        <v>14</v>
      </c>
    </row>
    <row r="21" spans="1:9" x14ac:dyDescent="0.3">
      <c r="A21" s="5">
        <v>109</v>
      </c>
      <c r="B21" s="2" t="s">
        <v>35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10</v>
      </c>
      <c r="H21" s="2" t="s">
        <v>11</v>
      </c>
      <c r="I21" s="2" t="s">
        <v>14</v>
      </c>
    </row>
    <row r="22" spans="1:9" x14ac:dyDescent="0.3">
      <c r="A22" s="5">
        <v>111</v>
      </c>
      <c r="B22" s="2" t="s">
        <v>36</v>
      </c>
      <c r="C22" s="3">
        <v>0.3125</v>
      </c>
      <c r="D22" s="3">
        <v>0.5</v>
      </c>
      <c r="E22" s="3">
        <v>0.5625</v>
      </c>
      <c r="F22" s="3">
        <v>0.75</v>
      </c>
      <c r="G22" s="2" t="s">
        <v>10</v>
      </c>
      <c r="H22" s="2" t="s">
        <v>11</v>
      </c>
      <c r="I22" s="2" t="s">
        <v>19</v>
      </c>
    </row>
    <row r="23" spans="1:9" x14ac:dyDescent="0.3">
      <c r="A23" s="5">
        <v>113</v>
      </c>
      <c r="B23" s="2" t="s">
        <v>37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10</v>
      </c>
      <c r="H23" s="2" t="s">
        <v>11</v>
      </c>
      <c r="I23" s="2" t="s">
        <v>33</v>
      </c>
    </row>
    <row r="24" spans="1:9" x14ac:dyDescent="0.3">
      <c r="A24" s="5">
        <v>115</v>
      </c>
      <c r="B24" s="2" t="s">
        <v>38</v>
      </c>
      <c r="C24" s="3">
        <v>0.33333333333333331</v>
      </c>
      <c r="D24" s="3">
        <v>0.5</v>
      </c>
      <c r="E24" s="3"/>
      <c r="F24" s="3"/>
      <c r="G24" s="2" t="s">
        <v>22</v>
      </c>
      <c r="H24" s="2" t="s">
        <v>11</v>
      </c>
      <c r="I24" s="2" t="s">
        <v>39</v>
      </c>
    </row>
    <row r="25" spans="1:9" x14ac:dyDescent="0.3">
      <c r="A25" s="5">
        <v>117</v>
      </c>
      <c r="B25" s="2" t="s">
        <v>40</v>
      </c>
      <c r="C25" s="3">
        <v>0.27083333333333331</v>
      </c>
      <c r="D25" s="3">
        <v>0.5</v>
      </c>
      <c r="E25" s="3">
        <v>0.5625</v>
      </c>
      <c r="F25" s="3">
        <v>0.75</v>
      </c>
      <c r="G25" s="2"/>
      <c r="H25" s="2" t="s">
        <v>11</v>
      </c>
      <c r="I25" s="2" t="s">
        <v>14</v>
      </c>
    </row>
    <row r="26" spans="1:9" x14ac:dyDescent="0.3">
      <c r="A26" s="5">
        <v>118</v>
      </c>
      <c r="B26" s="2" t="s">
        <v>41</v>
      </c>
      <c r="C26" s="3">
        <v>0.3125</v>
      </c>
      <c r="D26" s="3">
        <v>0.5</v>
      </c>
      <c r="E26" s="3"/>
      <c r="F26" s="3"/>
      <c r="G26" s="2" t="s">
        <v>22</v>
      </c>
      <c r="H26" s="2" t="s">
        <v>42</v>
      </c>
      <c r="I26" s="2" t="s">
        <v>12</v>
      </c>
    </row>
    <row r="27" spans="1:9" x14ac:dyDescent="0.3">
      <c r="A27" s="5">
        <v>119</v>
      </c>
      <c r="B27" s="2" t="s">
        <v>43</v>
      </c>
      <c r="C27" s="3">
        <v>0.375</v>
      </c>
      <c r="D27" s="3"/>
      <c r="E27" s="3"/>
      <c r="F27" s="3">
        <v>0.70833333333333337</v>
      </c>
      <c r="G27" s="2" t="s">
        <v>22</v>
      </c>
      <c r="H27" s="2" t="s">
        <v>11</v>
      </c>
      <c r="I27" s="2" t="s">
        <v>12</v>
      </c>
    </row>
    <row r="28" spans="1:9" x14ac:dyDescent="0.3">
      <c r="A28" s="5">
        <v>120</v>
      </c>
      <c r="B28" s="2" t="s">
        <v>44</v>
      </c>
      <c r="C28" s="3">
        <v>0.33333333333333331</v>
      </c>
      <c r="D28" s="3">
        <v>0.5</v>
      </c>
      <c r="E28" s="3">
        <v>0.58333333333333337</v>
      </c>
      <c r="F28" s="3">
        <v>0.75</v>
      </c>
      <c r="G28" s="2"/>
      <c r="H28" s="2" t="s">
        <v>11</v>
      </c>
      <c r="I28" s="2" t="s">
        <v>39</v>
      </c>
    </row>
    <row r="29" spans="1:9" x14ac:dyDescent="0.3">
      <c r="A29" s="5">
        <v>121</v>
      </c>
      <c r="B29" s="2" t="s">
        <v>45</v>
      </c>
      <c r="C29" s="3">
        <v>0.33333333333333331</v>
      </c>
      <c r="D29" s="3">
        <v>0.5</v>
      </c>
      <c r="E29" s="3">
        <v>0.58333333333333337</v>
      </c>
      <c r="F29" s="3">
        <v>0.75</v>
      </c>
      <c r="G29" s="2"/>
      <c r="H29" s="2" t="s">
        <v>11</v>
      </c>
      <c r="I29" s="2" t="s">
        <v>39</v>
      </c>
    </row>
    <row r="1048570" spans="7:7" x14ac:dyDescent="0.3">
      <c r="G1048570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C7" sqref="C7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46</v>
      </c>
      <c r="B1" s="6"/>
      <c r="C1" s="6" t="s">
        <v>47</v>
      </c>
      <c r="E1" s="6" t="s">
        <v>48</v>
      </c>
    </row>
    <row r="2" spans="1:5" x14ac:dyDescent="0.3">
      <c r="A2" t="s">
        <v>88</v>
      </c>
      <c r="C2" t="s">
        <v>50</v>
      </c>
      <c r="E2" s="7" t="s">
        <v>51</v>
      </c>
    </row>
    <row r="3" spans="1:5" x14ac:dyDescent="0.3">
      <c r="A3" t="s">
        <v>89</v>
      </c>
      <c r="C3" t="s">
        <v>53</v>
      </c>
      <c r="E3" s="7" t="s">
        <v>54</v>
      </c>
    </row>
    <row r="4" spans="1:5" x14ac:dyDescent="0.3">
      <c r="A4" t="s">
        <v>49</v>
      </c>
      <c r="C4" t="s">
        <v>56</v>
      </c>
      <c r="E4" s="7" t="s">
        <v>57</v>
      </c>
    </row>
    <row r="5" spans="1:5" x14ac:dyDescent="0.3">
      <c r="A5" t="s">
        <v>90</v>
      </c>
      <c r="E5" s="7" t="s">
        <v>59</v>
      </c>
    </row>
    <row r="6" spans="1:5" x14ac:dyDescent="0.3">
      <c r="A6" t="s">
        <v>91</v>
      </c>
      <c r="E6" s="7" t="s">
        <v>61</v>
      </c>
    </row>
    <row r="7" spans="1:5" x14ac:dyDescent="0.3">
      <c r="A7" t="s">
        <v>92</v>
      </c>
    </row>
    <row r="8" spans="1:5" x14ac:dyDescent="0.3">
      <c r="A8" t="s">
        <v>93</v>
      </c>
    </row>
    <row r="9" spans="1:5" x14ac:dyDescent="0.3">
      <c r="A9" t="s">
        <v>94</v>
      </c>
    </row>
    <row r="10" spans="1:5" x14ac:dyDescent="0.3">
      <c r="A10" t="s">
        <v>62</v>
      </c>
    </row>
    <row r="11" spans="1:5" x14ac:dyDescent="0.3">
      <c r="A11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"/>
  <sheetViews>
    <sheetView tabSelected="1" workbookViewId="0">
      <selection activeCell="I2" sqref="I2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1" t="s">
        <v>67</v>
      </c>
      <c r="B1" s="11" t="s">
        <v>68</v>
      </c>
      <c r="C1" s="11" t="s">
        <v>69</v>
      </c>
      <c r="D1" s="11" t="s">
        <v>70</v>
      </c>
      <c r="E1" s="11" t="s">
        <v>71</v>
      </c>
      <c r="F1" s="11" t="s">
        <v>72</v>
      </c>
      <c r="G1" s="11" t="s">
        <v>73</v>
      </c>
      <c r="H1" s="11" t="s">
        <v>74</v>
      </c>
      <c r="I1" s="11" t="s">
        <v>75</v>
      </c>
      <c r="J1" s="11" t="s">
        <v>76</v>
      </c>
      <c r="K1" s="11" t="s">
        <v>77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94</v>
      </c>
      <c r="F2" s="9">
        <v>46140</v>
      </c>
      <c r="G2" s="9">
        <v>46140</v>
      </c>
      <c r="H2" s="10">
        <f>IF(OR(F2="",G2=""),"",G2-F2+1)</f>
        <v>1</v>
      </c>
      <c r="I2" s="7" t="s">
        <v>53</v>
      </c>
      <c r="J2" s="7"/>
      <c r="K2" s="7" t="str">
        <f t="shared" ref="K2:K33" si="0">IF(A2="","",A2&amp;"|"&amp;TEXT(F2,"yyyymmdd")&amp;"|"&amp;TEXT(G2,"yyyymmdd"))</f>
        <v>100|20260428|20260428</v>
      </c>
    </row>
    <row r="3" spans="1:11" x14ac:dyDescent="0.3">
      <c r="A3" s="7"/>
      <c r="B3" s="7" t="str">
        <f>IF(A3="","",IFERROR(VLOOKUP(A3,Empleados!A:B,2,FALSE),""))</f>
        <v/>
      </c>
      <c r="C3" s="7" t="str">
        <f>IF(A3="","",IFERROR(VLOOKUP(A3,Empleados!A:I,9,FALSE),""))</f>
        <v/>
      </c>
      <c r="D3" s="7" t="str">
        <f>IF(A3="","",IFERROR(VLOOKUP(A3,Empleados!A:H,8,FALSE),""))</f>
        <v/>
      </c>
      <c r="E3" s="7"/>
      <c r="F3" s="9"/>
      <c r="G3" s="9"/>
      <c r="H3" s="10" t="str">
        <f t="shared" ref="H3:H66" si="1">IF(OR(F3="",G3=""),"",G3-F3+1)</f>
        <v/>
      </c>
      <c r="I3" s="7" t="str">
        <f t="shared" ref="I3:I66" si="2">IF(A3="","","PENDIENTE")</f>
        <v/>
      </c>
      <c r="J3" s="7"/>
      <c r="K3" s="7" t="str">
        <f t="shared" si="0"/>
        <v/>
      </c>
    </row>
    <row r="4" spans="1:11" x14ac:dyDescent="0.3">
      <c r="A4" s="7"/>
      <c r="B4" s="7" t="str">
        <f>IF(A4="","",IFERROR(VLOOKUP(A4,Empleados!A:B,2,FALSE),""))</f>
        <v/>
      </c>
      <c r="C4" s="7" t="str">
        <f>IF(A4="","",IFERROR(VLOOKUP(A4,Empleados!A:I,9,FALSE),""))</f>
        <v/>
      </c>
      <c r="D4" s="7" t="str">
        <f>IF(A4="","",IFERROR(VLOOKUP(A4,Empleados!A:H,8,FALSE),""))</f>
        <v/>
      </c>
      <c r="E4" s="7"/>
      <c r="F4" s="9"/>
      <c r="G4" s="9"/>
      <c r="H4" s="10" t="str">
        <f t="shared" si="1"/>
        <v/>
      </c>
      <c r="I4" s="7" t="str">
        <f t="shared" si="2"/>
        <v/>
      </c>
      <c r="J4" s="7"/>
      <c r="K4" s="7" t="str">
        <f t="shared" si="0"/>
        <v/>
      </c>
    </row>
    <row r="5" spans="1:11" x14ac:dyDescent="0.3">
      <c r="A5" s="7"/>
      <c r="B5" s="7" t="str">
        <f>IF(A5="","",IFERROR(VLOOKUP(A5,Empleados!A:B,2,FALSE),""))</f>
        <v/>
      </c>
      <c r="C5" s="7" t="str">
        <f>IF(A5="","",IFERROR(VLOOKUP(A5,Empleados!A:I,9,FALSE),""))</f>
        <v/>
      </c>
      <c r="D5" s="7" t="str">
        <f>IF(A5="","",IFERROR(VLOOKUP(A5,Empleados!A:H,8,FALSE),""))</f>
        <v/>
      </c>
      <c r="E5" s="7"/>
      <c r="F5" s="9"/>
      <c r="G5" s="9"/>
      <c r="H5" s="10" t="str">
        <f t="shared" si="1"/>
        <v/>
      </c>
      <c r="I5" s="7" t="str">
        <f t="shared" si="2"/>
        <v/>
      </c>
      <c r="J5" s="7"/>
      <c r="K5" s="7" t="str">
        <f t="shared" si="0"/>
        <v/>
      </c>
    </row>
    <row r="6" spans="1:11" x14ac:dyDescent="0.3">
      <c r="A6" s="7"/>
      <c r="B6" s="7" t="str">
        <f>IF(A6="","",IFERROR(VLOOKUP(A6,Empleados!A:B,2,FALSE),""))</f>
        <v/>
      </c>
      <c r="C6" s="7" t="str">
        <f>IF(A6="","",IFERROR(VLOOKUP(A6,Empleados!A:I,9,FALSE),""))</f>
        <v/>
      </c>
      <c r="D6" s="7" t="str">
        <f>IF(A6="","",IFERROR(VLOOKUP(A6,Empleados!A:H,8,FALSE),""))</f>
        <v/>
      </c>
      <c r="E6" s="7"/>
      <c r="F6" s="9"/>
      <c r="G6" s="9"/>
      <c r="H6" s="10" t="str">
        <f t="shared" si="1"/>
        <v/>
      </c>
      <c r="I6" s="7" t="str">
        <f t="shared" si="2"/>
        <v/>
      </c>
      <c r="J6" s="7"/>
      <c r="K6" s="7" t="str">
        <f t="shared" si="0"/>
        <v/>
      </c>
    </row>
    <row r="7" spans="1:11" x14ac:dyDescent="0.3">
      <c r="A7" s="7"/>
      <c r="B7" s="7" t="str">
        <f>IF(A7="","",IFERROR(VLOOKUP(A7,Empleados!A:B,2,FALSE),""))</f>
        <v/>
      </c>
      <c r="C7" s="7" t="str">
        <f>IF(A7="","",IFERROR(VLOOKUP(A7,Empleados!A:I,9,FALSE),""))</f>
        <v/>
      </c>
      <c r="D7" s="7" t="str">
        <f>IF(A7="","",IFERROR(VLOOKUP(A7,Empleados!A:H,8,FALSE),""))</f>
        <v/>
      </c>
      <c r="E7" s="7"/>
      <c r="F7" s="9"/>
      <c r="G7" s="9"/>
      <c r="H7" s="10" t="str">
        <f t="shared" si="1"/>
        <v/>
      </c>
      <c r="I7" s="7" t="str">
        <f t="shared" si="2"/>
        <v/>
      </c>
      <c r="J7" s="7"/>
      <c r="K7" s="7" t="str">
        <f t="shared" si="0"/>
        <v/>
      </c>
    </row>
    <row r="8" spans="1:11" x14ac:dyDescent="0.3">
      <c r="A8" s="7"/>
      <c r="B8" s="7" t="str">
        <f>IF(A8="","",IFERROR(VLOOKUP(A8,Empleados!A:B,2,FALSE),""))</f>
        <v/>
      </c>
      <c r="C8" s="7" t="str">
        <f>IF(A8="","",IFERROR(VLOOKUP(A8,Empleados!A:I,9,FALSE),""))</f>
        <v/>
      </c>
      <c r="D8" s="7" t="str">
        <f>IF(A8="","",IFERROR(VLOOKUP(A8,Empleados!A:H,8,FALSE),""))</f>
        <v/>
      </c>
      <c r="E8" s="7"/>
      <c r="F8" s="9"/>
      <c r="G8" s="9"/>
      <c r="H8" s="10" t="str">
        <f t="shared" si="1"/>
        <v/>
      </c>
      <c r="I8" s="7" t="str">
        <f t="shared" si="2"/>
        <v/>
      </c>
      <c r="J8" s="7"/>
      <c r="K8" s="7" t="str">
        <f t="shared" si="0"/>
        <v/>
      </c>
    </row>
    <row r="9" spans="1:11" x14ac:dyDescent="0.3">
      <c r="A9" s="7"/>
      <c r="B9" s="7" t="str">
        <f>IF(A9="","",IFERROR(VLOOKUP(A9,Empleados!A:B,2,FALSE),""))</f>
        <v/>
      </c>
      <c r="C9" s="7" t="str">
        <f>IF(A9="","",IFERROR(VLOOKUP(A9,Empleados!A:I,9,FALSE),""))</f>
        <v/>
      </c>
      <c r="D9" s="7" t="str">
        <f>IF(A9="","",IFERROR(VLOOKUP(A9,Empleados!A:H,8,FALSE),""))</f>
        <v/>
      </c>
      <c r="E9" s="7"/>
      <c r="F9" s="9"/>
      <c r="G9" s="9"/>
      <c r="H9" s="10" t="str">
        <f t="shared" si="1"/>
        <v/>
      </c>
      <c r="I9" s="7" t="str">
        <f t="shared" si="2"/>
        <v/>
      </c>
      <c r="J9" s="7"/>
      <c r="K9" s="7" t="str">
        <f t="shared" si="0"/>
        <v/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9"/>
      <c r="G10" s="9"/>
      <c r="H10" s="10" t="str">
        <f t="shared" si="1"/>
        <v/>
      </c>
      <c r="I10" s="7" t="str">
        <f t="shared" si="2"/>
        <v/>
      </c>
      <c r="J10" s="7"/>
      <c r="K10" s="7" t="str">
        <f t="shared" si="0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9"/>
      <c r="G11" s="9"/>
      <c r="H11" s="10" t="str">
        <f t="shared" si="1"/>
        <v/>
      </c>
      <c r="I11" s="7" t="str">
        <f t="shared" si="2"/>
        <v/>
      </c>
      <c r="J11" s="7"/>
      <c r="K11" s="7" t="str">
        <f t="shared" si="0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9"/>
      <c r="G12" s="9"/>
      <c r="H12" s="10" t="str">
        <f t="shared" si="1"/>
        <v/>
      </c>
      <c r="I12" s="7" t="str">
        <f t="shared" si="2"/>
        <v/>
      </c>
      <c r="J12" s="7"/>
      <c r="K12" s="7" t="str">
        <f t="shared" si="0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9"/>
      <c r="G13" s="9"/>
      <c r="H13" s="10" t="str">
        <f t="shared" si="1"/>
        <v/>
      </c>
      <c r="I13" s="7" t="str">
        <f t="shared" si="2"/>
        <v/>
      </c>
      <c r="J13" s="7"/>
      <c r="K13" s="7" t="str">
        <f t="shared" si="0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9"/>
      <c r="G14" s="9"/>
      <c r="H14" s="10" t="str">
        <f t="shared" si="1"/>
        <v/>
      </c>
      <c r="I14" s="7" t="str">
        <f t="shared" si="2"/>
        <v/>
      </c>
      <c r="J14" s="7"/>
      <c r="K14" s="7" t="str">
        <f t="shared" si="0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9"/>
      <c r="G15" s="9"/>
      <c r="H15" s="10" t="str">
        <f t="shared" si="1"/>
        <v/>
      </c>
      <c r="I15" s="7" t="str">
        <f t="shared" si="2"/>
        <v/>
      </c>
      <c r="J15" s="7"/>
      <c r="K15" s="7" t="str">
        <f t="shared" si="0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9"/>
      <c r="G16" s="9"/>
      <c r="H16" s="10" t="str">
        <f t="shared" si="1"/>
        <v/>
      </c>
      <c r="I16" s="7" t="str">
        <f t="shared" si="2"/>
        <v/>
      </c>
      <c r="J16" s="7"/>
      <c r="K16" s="7" t="str">
        <f t="shared" si="0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9"/>
      <c r="G17" s="9"/>
      <c r="H17" s="10" t="str">
        <f t="shared" si="1"/>
        <v/>
      </c>
      <c r="I17" s="7" t="str">
        <f t="shared" si="2"/>
        <v/>
      </c>
      <c r="J17" s="7"/>
      <c r="K17" s="7" t="str">
        <f t="shared" si="0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9"/>
      <c r="G18" s="9"/>
      <c r="H18" s="10" t="str">
        <f t="shared" si="1"/>
        <v/>
      </c>
      <c r="I18" s="7" t="str">
        <f t="shared" si="2"/>
        <v/>
      </c>
      <c r="J18" s="7"/>
      <c r="K18" s="7" t="str">
        <f t="shared" si="0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9"/>
      <c r="G19" s="9"/>
      <c r="H19" s="10" t="str">
        <f t="shared" si="1"/>
        <v/>
      </c>
      <c r="I19" s="7" t="str">
        <f t="shared" si="2"/>
        <v/>
      </c>
      <c r="J19" s="7"/>
      <c r="K19" s="7" t="str">
        <f t="shared" si="0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9"/>
      <c r="G20" s="9"/>
      <c r="H20" s="10" t="str">
        <f t="shared" si="1"/>
        <v/>
      </c>
      <c r="I20" s="7" t="str">
        <f t="shared" si="2"/>
        <v/>
      </c>
      <c r="J20" s="7"/>
      <c r="K20" s="7" t="str">
        <f t="shared" si="0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9"/>
      <c r="G21" s="9"/>
      <c r="H21" s="10" t="str">
        <f t="shared" si="1"/>
        <v/>
      </c>
      <c r="I21" s="7" t="str">
        <f t="shared" si="2"/>
        <v/>
      </c>
      <c r="J21" s="7"/>
      <c r="K21" s="7" t="str">
        <f t="shared" si="0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9"/>
      <c r="G22" s="9"/>
      <c r="H22" s="10" t="str">
        <f t="shared" si="1"/>
        <v/>
      </c>
      <c r="I22" s="7" t="str">
        <f t="shared" si="2"/>
        <v/>
      </c>
      <c r="J22" s="7"/>
      <c r="K22" s="7" t="str">
        <f t="shared" si="0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9"/>
      <c r="G23" s="9"/>
      <c r="H23" s="10" t="str">
        <f t="shared" si="1"/>
        <v/>
      </c>
      <c r="I23" s="7" t="str">
        <f t="shared" si="2"/>
        <v/>
      </c>
      <c r="J23" s="7"/>
      <c r="K23" s="7" t="str">
        <f t="shared" si="0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9"/>
      <c r="G24" s="9"/>
      <c r="H24" s="10" t="str">
        <f t="shared" si="1"/>
        <v/>
      </c>
      <c r="I24" s="7" t="str">
        <f t="shared" si="2"/>
        <v/>
      </c>
      <c r="J24" s="7"/>
      <c r="K24" s="7" t="str">
        <f t="shared" si="0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9"/>
      <c r="G25" s="9"/>
      <c r="H25" s="10" t="str">
        <f t="shared" si="1"/>
        <v/>
      </c>
      <c r="I25" s="7" t="str">
        <f t="shared" si="2"/>
        <v/>
      </c>
      <c r="J25" s="7"/>
      <c r="K25" s="7" t="str">
        <f t="shared" si="0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9"/>
      <c r="G26" s="9"/>
      <c r="H26" s="10" t="str">
        <f t="shared" si="1"/>
        <v/>
      </c>
      <c r="I26" s="7" t="str">
        <f t="shared" si="2"/>
        <v/>
      </c>
      <c r="J26" s="7"/>
      <c r="K26" s="7" t="str">
        <f t="shared" si="0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9"/>
      <c r="G27" s="9"/>
      <c r="H27" s="10" t="str">
        <f t="shared" si="1"/>
        <v/>
      </c>
      <c r="I27" s="7" t="str">
        <f t="shared" si="2"/>
        <v/>
      </c>
      <c r="J27" s="7"/>
      <c r="K27" s="7" t="str">
        <f t="shared" si="0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9"/>
      <c r="G28" s="9"/>
      <c r="H28" s="10" t="str">
        <f t="shared" si="1"/>
        <v/>
      </c>
      <c r="I28" s="7" t="str">
        <f t="shared" si="2"/>
        <v/>
      </c>
      <c r="J28" s="7"/>
      <c r="K28" s="7" t="str">
        <f t="shared" si="0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9"/>
      <c r="G29" s="9"/>
      <c r="H29" s="10" t="str">
        <f t="shared" si="1"/>
        <v/>
      </c>
      <c r="I29" s="7" t="str">
        <f t="shared" si="2"/>
        <v/>
      </c>
      <c r="J29" s="7"/>
      <c r="K29" s="7" t="str">
        <f t="shared" si="0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9"/>
      <c r="G30" s="9"/>
      <c r="H30" s="10" t="str">
        <f t="shared" si="1"/>
        <v/>
      </c>
      <c r="I30" s="7" t="str">
        <f t="shared" si="2"/>
        <v/>
      </c>
      <c r="J30" s="7"/>
      <c r="K30" s="7" t="str">
        <f t="shared" si="0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9"/>
      <c r="G31" s="9"/>
      <c r="H31" s="10" t="str">
        <f t="shared" si="1"/>
        <v/>
      </c>
      <c r="I31" s="7" t="str">
        <f t="shared" si="2"/>
        <v/>
      </c>
      <c r="J31" s="7"/>
      <c r="K31" s="7" t="str">
        <f t="shared" si="0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9"/>
      <c r="G32" s="9"/>
      <c r="H32" s="10" t="str">
        <f t="shared" si="1"/>
        <v/>
      </c>
      <c r="I32" s="7" t="str">
        <f t="shared" si="2"/>
        <v/>
      </c>
      <c r="J32" s="7"/>
      <c r="K32" s="7" t="str">
        <f t="shared" si="0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9"/>
      <c r="G33" s="9"/>
      <c r="H33" s="10" t="str">
        <f t="shared" si="1"/>
        <v/>
      </c>
      <c r="I33" s="7" t="str">
        <f t="shared" si="2"/>
        <v/>
      </c>
      <c r="J33" s="7"/>
      <c r="K33" s="7" t="str">
        <f t="shared" si="0"/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9"/>
      <c r="G34" s="9"/>
      <c r="H34" s="10" t="str">
        <f t="shared" si="1"/>
        <v/>
      </c>
      <c r="I34" s="7" t="str">
        <f t="shared" si="2"/>
        <v/>
      </c>
      <c r="J34" s="7"/>
      <c r="K34" s="7" t="str">
        <f t="shared" ref="K34:K65" si="3">IF(A34="","",A34&amp;"|"&amp;TEXT(F34,"yyyymmdd")&amp;"|"&amp;TEXT(G34,"yyyymmdd"))</f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9"/>
      <c r="G35" s="9"/>
      <c r="H35" s="10" t="str">
        <f t="shared" si="1"/>
        <v/>
      </c>
      <c r="I35" s="7" t="str">
        <f t="shared" si="2"/>
        <v/>
      </c>
      <c r="J35" s="7"/>
      <c r="K35" s="7" t="str">
        <f t="shared" si="3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9"/>
      <c r="G36" s="9"/>
      <c r="H36" s="10" t="str">
        <f t="shared" si="1"/>
        <v/>
      </c>
      <c r="I36" s="7" t="str">
        <f t="shared" si="2"/>
        <v/>
      </c>
      <c r="J36" s="7"/>
      <c r="K36" s="7" t="str">
        <f t="shared" si="3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9"/>
      <c r="G37" s="9"/>
      <c r="H37" s="10" t="str">
        <f t="shared" si="1"/>
        <v/>
      </c>
      <c r="I37" s="7" t="str">
        <f t="shared" si="2"/>
        <v/>
      </c>
      <c r="J37" s="7"/>
      <c r="K37" s="7" t="str">
        <f t="shared" si="3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9"/>
      <c r="G38" s="9"/>
      <c r="H38" s="10" t="str">
        <f t="shared" si="1"/>
        <v/>
      </c>
      <c r="I38" s="7" t="str">
        <f t="shared" si="2"/>
        <v/>
      </c>
      <c r="J38" s="7"/>
      <c r="K38" s="7" t="str">
        <f t="shared" si="3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9"/>
      <c r="G39" s="9"/>
      <c r="H39" s="10" t="str">
        <f t="shared" si="1"/>
        <v/>
      </c>
      <c r="I39" s="7" t="str">
        <f t="shared" si="2"/>
        <v/>
      </c>
      <c r="J39" s="7"/>
      <c r="K39" s="7" t="str">
        <f t="shared" si="3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9"/>
      <c r="G40" s="9"/>
      <c r="H40" s="10" t="str">
        <f t="shared" si="1"/>
        <v/>
      </c>
      <c r="I40" s="7" t="str">
        <f t="shared" si="2"/>
        <v/>
      </c>
      <c r="J40" s="7"/>
      <c r="K40" s="7" t="str">
        <f t="shared" si="3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9"/>
      <c r="G41" s="9"/>
      <c r="H41" s="10" t="str">
        <f t="shared" si="1"/>
        <v/>
      </c>
      <c r="I41" s="7" t="str">
        <f t="shared" si="2"/>
        <v/>
      </c>
      <c r="J41" s="7"/>
      <c r="K41" s="7" t="str">
        <f t="shared" si="3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9"/>
      <c r="G42" s="9"/>
      <c r="H42" s="10" t="str">
        <f t="shared" si="1"/>
        <v/>
      </c>
      <c r="I42" s="7" t="str">
        <f t="shared" si="2"/>
        <v/>
      </c>
      <c r="J42" s="7"/>
      <c r="K42" s="7" t="str">
        <f t="shared" si="3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9"/>
      <c r="G43" s="9"/>
      <c r="H43" s="10" t="str">
        <f t="shared" si="1"/>
        <v/>
      </c>
      <c r="I43" s="7" t="str">
        <f t="shared" si="2"/>
        <v/>
      </c>
      <c r="J43" s="7"/>
      <c r="K43" s="7" t="str">
        <f t="shared" si="3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9"/>
      <c r="G44" s="9"/>
      <c r="H44" s="10" t="str">
        <f t="shared" si="1"/>
        <v/>
      </c>
      <c r="I44" s="7" t="str">
        <f t="shared" si="2"/>
        <v/>
      </c>
      <c r="J44" s="7"/>
      <c r="K44" s="7" t="str">
        <f t="shared" si="3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9"/>
      <c r="G45" s="9"/>
      <c r="H45" s="10" t="str">
        <f t="shared" si="1"/>
        <v/>
      </c>
      <c r="I45" s="7" t="str">
        <f t="shared" si="2"/>
        <v/>
      </c>
      <c r="J45" s="7"/>
      <c r="K45" s="7" t="str">
        <f t="shared" si="3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9"/>
      <c r="G46" s="9"/>
      <c r="H46" s="10" t="str">
        <f t="shared" si="1"/>
        <v/>
      </c>
      <c r="I46" s="7" t="str">
        <f t="shared" si="2"/>
        <v/>
      </c>
      <c r="J46" s="7"/>
      <c r="K46" s="7" t="str">
        <f t="shared" si="3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9"/>
      <c r="G47" s="9"/>
      <c r="H47" s="10" t="str">
        <f t="shared" si="1"/>
        <v/>
      </c>
      <c r="I47" s="7" t="str">
        <f t="shared" si="2"/>
        <v/>
      </c>
      <c r="J47" s="7"/>
      <c r="K47" s="7" t="str">
        <f t="shared" si="3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9"/>
      <c r="G48" s="9"/>
      <c r="H48" s="10" t="str">
        <f t="shared" si="1"/>
        <v/>
      </c>
      <c r="I48" s="7" t="str">
        <f t="shared" si="2"/>
        <v/>
      </c>
      <c r="J48" s="7"/>
      <c r="K48" s="7" t="str">
        <f t="shared" si="3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9"/>
      <c r="G49" s="9"/>
      <c r="H49" s="10" t="str">
        <f t="shared" si="1"/>
        <v/>
      </c>
      <c r="I49" s="7" t="str">
        <f t="shared" si="2"/>
        <v/>
      </c>
      <c r="J49" s="7"/>
      <c r="K49" s="7" t="str">
        <f t="shared" si="3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9"/>
      <c r="G50" s="9"/>
      <c r="H50" s="10" t="str">
        <f t="shared" si="1"/>
        <v/>
      </c>
      <c r="I50" s="7" t="str">
        <f t="shared" si="2"/>
        <v/>
      </c>
      <c r="J50" s="7"/>
      <c r="K50" s="7" t="str">
        <f t="shared" si="3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9"/>
      <c r="G51" s="9"/>
      <c r="H51" s="10" t="str">
        <f t="shared" si="1"/>
        <v/>
      </c>
      <c r="I51" s="7" t="str">
        <f t="shared" si="2"/>
        <v/>
      </c>
      <c r="J51" s="7"/>
      <c r="K51" s="7" t="str">
        <f t="shared" si="3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9"/>
      <c r="G52" s="9"/>
      <c r="H52" s="10" t="str">
        <f t="shared" si="1"/>
        <v/>
      </c>
      <c r="I52" s="7" t="str">
        <f t="shared" si="2"/>
        <v/>
      </c>
      <c r="J52" s="7"/>
      <c r="K52" s="7" t="str">
        <f t="shared" si="3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9"/>
      <c r="G53" s="9"/>
      <c r="H53" s="10" t="str">
        <f t="shared" si="1"/>
        <v/>
      </c>
      <c r="I53" s="7" t="str">
        <f t="shared" si="2"/>
        <v/>
      </c>
      <c r="J53" s="7"/>
      <c r="K53" s="7" t="str">
        <f t="shared" si="3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9"/>
      <c r="G54" s="9"/>
      <c r="H54" s="10" t="str">
        <f t="shared" si="1"/>
        <v/>
      </c>
      <c r="I54" s="7" t="str">
        <f t="shared" si="2"/>
        <v/>
      </c>
      <c r="J54" s="7"/>
      <c r="K54" s="7" t="str">
        <f t="shared" si="3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9"/>
      <c r="G55" s="9"/>
      <c r="H55" s="10" t="str">
        <f t="shared" si="1"/>
        <v/>
      </c>
      <c r="I55" s="7" t="str">
        <f t="shared" si="2"/>
        <v/>
      </c>
      <c r="J55" s="7"/>
      <c r="K55" s="7" t="str">
        <f t="shared" si="3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9"/>
      <c r="G56" s="9"/>
      <c r="H56" s="10" t="str">
        <f t="shared" si="1"/>
        <v/>
      </c>
      <c r="I56" s="7" t="str">
        <f t="shared" si="2"/>
        <v/>
      </c>
      <c r="J56" s="7"/>
      <c r="K56" s="7" t="str">
        <f t="shared" si="3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9"/>
      <c r="G57" s="9"/>
      <c r="H57" s="10" t="str">
        <f t="shared" si="1"/>
        <v/>
      </c>
      <c r="I57" s="7" t="str">
        <f t="shared" si="2"/>
        <v/>
      </c>
      <c r="J57" s="7"/>
      <c r="K57" s="7" t="str">
        <f t="shared" si="3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9"/>
      <c r="G58" s="9"/>
      <c r="H58" s="10" t="str">
        <f t="shared" si="1"/>
        <v/>
      </c>
      <c r="I58" s="7" t="str">
        <f t="shared" si="2"/>
        <v/>
      </c>
      <c r="J58" s="7"/>
      <c r="K58" s="7" t="str">
        <f t="shared" si="3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9"/>
      <c r="G59" s="9"/>
      <c r="H59" s="10" t="str">
        <f t="shared" si="1"/>
        <v/>
      </c>
      <c r="I59" s="7" t="str">
        <f t="shared" si="2"/>
        <v/>
      </c>
      <c r="J59" s="7"/>
      <c r="K59" s="7" t="str">
        <f t="shared" si="3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9"/>
      <c r="G60" s="9"/>
      <c r="H60" s="10" t="str">
        <f t="shared" si="1"/>
        <v/>
      </c>
      <c r="I60" s="7" t="str">
        <f t="shared" si="2"/>
        <v/>
      </c>
      <c r="J60" s="7"/>
      <c r="K60" s="7" t="str">
        <f t="shared" si="3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9"/>
      <c r="G61" s="9"/>
      <c r="H61" s="10" t="str">
        <f t="shared" si="1"/>
        <v/>
      </c>
      <c r="I61" s="7" t="str">
        <f t="shared" si="2"/>
        <v/>
      </c>
      <c r="J61" s="7"/>
      <c r="K61" s="7" t="str">
        <f t="shared" si="3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9"/>
      <c r="G62" s="9"/>
      <c r="H62" s="10" t="str">
        <f t="shared" si="1"/>
        <v/>
      </c>
      <c r="I62" s="7" t="str">
        <f t="shared" si="2"/>
        <v/>
      </c>
      <c r="J62" s="7"/>
      <c r="K62" s="7" t="str">
        <f t="shared" si="3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9"/>
      <c r="G63" s="9"/>
      <c r="H63" s="10" t="str">
        <f t="shared" si="1"/>
        <v/>
      </c>
      <c r="I63" s="7" t="str">
        <f t="shared" si="2"/>
        <v/>
      </c>
      <c r="J63" s="7"/>
      <c r="K63" s="7" t="str">
        <f t="shared" si="3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9"/>
      <c r="G64" s="9"/>
      <c r="H64" s="10" t="str">
        <f t="shared" si="1"/>
        <v/>
      </c>
      <c r="I64" s="7" t="str">
        <f t="shared" si="2"/>
        <v/>
      </c>
      <c r="J64" s="7"/>
      <c r="K64" s="7" t="str">
        <f t="shared" si="3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9"/>
      <c r="G65" s="9"/>
      <c r="H65" s="10" t="str">
        <f t="shared" si="1"/>
        <v/>
      </c>
      <c r="I65" s="7" t="str">
        <f t="shared" si="2"/>
        <v/>
      </c>
      <c r="J65" s="7"/>
      <c r="K65" s="7" t="str">
        <f t="shared" si="3"/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9"/>
      <c r="G66" s="9"/>
      <c r="H66" s="10" t="str">
        <f t="shared" si="1"/>
        <v/>
      </c>
      <c r="I66" s="7" t="str">
        <f t="shared" si="2"/>
        <v/>
      </c>
      <c r="J66" s="7"/>
      <c r="K66" s="7" t="str">
        <f t="shared" ref="K66:K97" si="4">IF(A66="","",A66&amp;"|"&amp;TEXT(F66,"yyyymmdd")&amp;"|"&amp;TEXT(G66,"yyyymmdd"))</f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9"/>
      <c r="G67" s="9"/>
      <c r="H67" s="10" t="str">
        <f t="shared" ref="H67:H130" si="5">IF(OR(F67="",G67=""),"",G67-F67+1)</f>
        <v/>
      </c>
      <c r="I67" s="7" t="str">
        <f t="shared" ref="I67:I130" si="6">IF(A67="","","PENDIENTE")</f>
        <v/>
      </c>
      <c r="J67" s="7"/>
      <c r="K67" s="7" t="str">
        <f t="shared" si="4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9"/>
      <c r="G68" s="9"/>
      <c r="H68" s="10" t="str">
        <f t="shared" si="5"/>
        <v/>
      </c>
      <c r="I68" s="7" t="str">
        <f t="shared" si="6"/>
        <v/>
      </c>
      <c r="J68" s="7"/>
      <c r="K68" s="7" t="str">
        <f t="shared" si="4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9"/>
      <c r="G69" s="9"/>
      <c r="H69" s="10" t="str">
        <f t="shared" si="5"/>
        <v/>
      </c>
      <c r="I69" s="7" t="str">
        <f t="shared" si="6"/>
        <v/>
      </c>
      <c r="J69" s="7"/>
      <c r="K69" s="7" t="str">
        <f t="shared" si="4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9"/>
      <c r="G70" s="9"/>
      <c r="H70" s="10" t="str">
        <f t="shared" si="5"/>
        <v/>
      </c>
      <c r="I70" s="7" t="str">
        <f t="shared" si="6"/>
        <v/>
      </c>
      <c r="J70" s="7"/>
      <c r="K70" s="7" t="str">
        <f t="shared" si="4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9"/>
      <c r="G71" s="9"/>
      <c r="H71" s="10" t="str">
        <f t="shared" si="5"/>
        <v/>
      </c>
      <c r="I71" s="7" t="str">
        <f t="shared" si="6"/>
        <v/>
      </c>
      <c r="J71" s="7"/>
      <c r="K71" s="7" t="str">
        <f t="shared" si="4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9"/>
      <c r="G72" s="9"/>
      <c r="H72" s="10" t="str">
        <f t="shared" si="5"/>
        <v/>
      </c>
      <c r="I72" s="7" t="str">
        <f t="shared" si="6"/>
        <v/>
      </c>
      <c r="J72" s="7"/>
      <c r="K72" s="7" t="str">
        <f t="shared" si="4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9"/>
      <c r="G73" s="9"/>
      <c r="H73" s="10" t="str">
        <f t="shared" si="5"/>
        <v/>
      </c>
      <c r="I73" s="7" t="str">
        <f t="shared" si="6"/>
        <v/>
      </c>
      <c r="J73" s="7"/>
      <c r="K73" s="7" t="str">
        <f t="shared" si="4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9"/>
      <c r="G74" s="9"/>
      <c r="H74" s="10" t="str">
        <f t="shared" si="5"/>
        <v/>
      </c>
      <c r="I74" s="7" t="str">
        <f t="shared" si="6"/>
        <v/>
      </c>
      <c r="J74" s="7"/>
      <c r="K74" s="7" t="str">
        <f t="shared" si="4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9"/>
      <c r="G75" s="9"/>
      <c r="H75" s="10" t="str">
        <f t="shared" si="5"/>
        <v/>
      </c>
      <c r="I75" s="7" t="str">
        <f t="shared" si="6"/>
        <v/>
      </c>
      <c r="J75" s="7"/>
      <c r="K75" s="7" t="str">
        <f t="shared" si="4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9"/>
      <c r="G76" s="9"/>
      <c r="H76" s="10" t="str">
        <f t="shared" si="5"/>
        <v/>
      </c>
      <c r="I76" s="7" t="str">
        <f t="shared" si="6"/>
        <v/>
      </c>
      <c r="J76" s="7"/>
      <c r="K76" s="7" t="str">
        <f t="shared" si="4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9"/>
      <c r="G77" s="9"/>
      <c r="H77" s="10" t="str">
        <f t="shared" si="5"/>
        <v/>
      </c>
      <c r="I77" s="7" t="str">
        <f t="shared" si="6"/>
        <v/>
      </c>
      <c r="J77" s="7"/>
      <c r="K77" s="7" t="str">
        <f t="shared" si="4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9"/>
      <c r="G78" s="9"/>
      <c r="H78" s="10" t="str">
        <f t="shared" si="5"/>
        <v/>
      </c>
      <c r="I78" s="7" t="str">
        <f t="shared" si="6"/>
        <v/>
      </c>
      <c r="J78" s="7"/>
      <c r="K78" s="7" t="str">
        <f t="shared" si="4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9"/>
      <c r="G79" s="9"/>
      <c r="H79" s="10" t="str">
        <f t="shared" si="5"/>
        <v/>
      </c>
      <c r="I79" s="7" t="str">
        <f t="shared" si="6"/>
        <v/>
      </c>
      <c r="J79" s="7"/>
      <c r="K79" s="7" t="str">
        <f t="shared" si="4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9"/>
      <c r="G80" s="9"/>
      <c r="H80" s="10" t="str">
        <f t="shared" si="5"/>
        <v/>
      </c>
      <c r="I80" s="7" t="str">
        <f t="shared" si="6"/>
        <v/>
      </c>
      <c r="J80" s="7"/>
      <c r="K80" s="7" t="str">
        <f t="shared" si="4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9"/>
      <c r="G81" s="9"/>
      <c r="H81" s="10" t="str">
        <f t="shared" si="5"/>
        <v/>
      </c>
      <c r="I81" s="7" t="str">
        <f t="shared" si="6"/>
        <v/>
      </c>
      <c r="J81" s="7"/>
      <c r="K81" s="7" t="str">
        <f t="shared" si="4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9"/>
      <c r="G82" s="9"/>
      <c r="H82" s="10" t="str">
        <f t="shared" si="5"/>
        <v/>
      </c>
      <c r="I82" s="7" t="str">
        <f t="shared" si="6"/>
        <v/>
      </c>
      <c r="J82" s="7"/>
      <c r="K82" s="7" t="str">
        <f t="shared" si="4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9"/>
      <c r="G83" s="9"/>
      <c r="H83" s="10" t="str">
        <f t="shared" si="5"/>
        <v/>
      </c>
      <c r="I83" s="7" t="str">
        <f t="shared" si="6"/>
        <v/>
      </c>
      <c r="J83" s="7"/>
      <c r="K83" s="7" t="str">
        <f t="shared" si="4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9"/>
      <c r="G84" s="9"/>
      <c r="H84" s="10" t="str">
        <f t="shared" si="5"/>
        <v/>
      </c>
      <c r="I84" s="7" t="str">
        <f t="shared" si="6"/>
        <v/>
      </c>
      <c r="J84" s="7"/>
      <c r="K84" s="7" t="str">
        <f t="shared" si="4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9"/>
      <c r="G85" s="9"/>
      <c r="H85" s="10" t="str">
        <f t="shared" si="5"/>
        <v/>
      </c>
      <c r="I85" s="7" t="str">
        <f t="shared" si="6"/>
        <v/>
      </c>
      <c r="J85" s="7"/>
      <c r="K85" s="7" t="str">
        <f t="shared" si="4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9"/>
      <c r="G86" s="9"/>
      <c r="H86" s="10" t="str">
        <f t="shared" si="5"/>
        <v/>
      </c>
      <c r="I86" s="7" t="str">
        <f t="shared" si="6"/>
        <v/>
      </c>
      <c r="J86" s="7"/>
      <c r="K86" s="7" t="str">
        <f t="shared" si="4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9"/>
      <c r="G87" s="9"/>
      <c r="H87" s="10" t="str">
        <f t="shared" si="5"/>
        <v/>
      </c>
      <c r="I87" s="7" t="str">
        <f t="shared" si="6"/>
        <v/>
      </c>
      <c r="J87" s="7"/>
      <c r="K87" s="7" t="str">
        <f t="shared" si="4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9"/>
      <c r="G88" s="9"/>
      <c r="H88" s="10" t="str">
        <f t="shared" si="5"/>
        <v/>
      </c>
      <c r="I88" s="7" t="str">
        <f t="shared" si="6"/>
        <v/>
      </c>
      <c r="J88" s="7"/>
      <c r="K88" s="7" t="str">
        <f t="shared" si="4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9"/>
      <c r="G89" s="9"/>
      <c r="H89" s="10" t="str">
        <f t="shared" si="5"/>
        <v/>
      </c>
      <c r="I89" s="7" t="str">
        <f t="shared" si="6"/>
        <v/>
      </c>
      <c r="J89" s="7"/>
      <c r="K89" s="7" t="str">
        <f t="shared" si="4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9"/>
      <c r="G90" s="9"/>
      <c r="H90" s="10" t="str">
        <f t="shared" si="5"/>
        <v/>
      </c>
      <c r="I90" s="7" t="str">
        <f t="shared" si="6"/>
        <v/>
      </c>
      <c r="J90" s="7"/>
      <c r="K90" s="7" t="str">
        <f t="shared" si="4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9"/>
      <c r="G91" s="9"/>
      <c r="H91" s="10" t="str">
        <f t="shared" si="5"/>
        <v/>
      </c>
      <c r="I91" s="7" t="str">
        <f t="shared" si="6"/>
        <v/>
      </c>
      <c r="J91" s="7"/>
      <c r="K91" s="7" t="str">
        <f t="shared" si="4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9"/>
      <c r="G92" s="9"/>
      <c r="H92" s="10" t="str">
        <f t="shared" si="5"/>
        <v/>
      </c>
      <c r="I92" s="7" t="str">
        <f t="shared" si="6"/>
        <v/>
      </c>
      <c r="J92" s="7"/>
      <c r="K92" s="7" t="str">
        <f t="shared" si="4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9"/>
      <c r="G93" s="9"/>
      <c r="H93" s="10" t="str">
        <f t="shared" si="5"/>
        <v/>
      </c>
      <c r="I93" s="7" t="str">
        <f t="shared" si="6"/>
        <v/>
      </c>
      <c r="J93" s="7"/>
      <c r="K93" s="7" t="str">
        <f t="shared" si="4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9"/>
      <c r="G94" s="9"/>
      <c r="H94" s="10" t="str">
        <f t="shared" si="5"/>
        <v/>
      </c>
      <c r="I94" s="7" t="str">
        <f t="shared" si="6"/>
        <v/>
      </c>
      <c r="J94" s="7"/>
      <c r="K94" s="7" t="str">
        <f t="shared" si="4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9"/>
      <c r="G95" s="9"/>
      <c r="H95" s="10" t="str">
        <f t="shared" si="5"/>
        <v/>
      </c>
      <c r="I95" s="7" t="str">
        <f t="shared" si="6"/>
        <v/>
      </c>
      <c r="J95" s="7"/>
      <c r="K95" s="7" t="str">
        <f t="shared" si="4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9"/>
      <c r="G96" s="9"/>
      <c r="H96" s="10" t="str">
        <f t="shared" si="5"/>
        <v/>
      </c>
      <c r="I96" s="7" t="str">
        <f t="shared" si="6"/>
        <v/>
      </c>
      <c r="J96" s="7"/>
      <c r="K96" s="7" t="str">
        <f t="shared" si="4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9"/>
      <c r="G97" s="9"/>
      <c r="H97" s="10" t="str">
        <f t="shared" si="5"/>
        <v/>
      </c>
      <c r="I97" s="7" t="str">
        <f t="shared" si="6"/>
        <v/>
      </c>
      <c r="J97" s="7"/>
      <c r="K97" s="7" t="str">
        <f t="shared" si="4"/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9"/>
      <c r="G98" s="9"/>
      <c r="H98" s="10" t="str">
        <f t="shared" si="5"/>
        <v/>
      </c>
      <c r="I98" s="7" t="str">
        <f t="shared" si="6"/>
        <v/>
      </c>
      <c r="J98" s="7"/>
      <c r="K98" s="7" t="str">
        <f t="shared" ref="K98:K129" si="7">IF(A98="","",A98&amp;"|"&amp;TEXT(F98,"yyyymmdd")&amp;"|"&amp;TEXT(G98,"yyyymmdd"))</f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9"/>
      <c r="G99" s="9"/>
      <c r="H99" s="10" t="str">
        <f t="shared" si="5"/>
        <v/>
      </c>
      <c r="I99" s="7" t="str">
        <f t="shared" si="6"/>
        <v/>
      </c>
      <c r="J99" s="7"/>
      <c r="K99" s="7" t="str">
        <f t="shared" si="7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9"/>
      <c r="G100" s="9"/>
      <c r="H100" s="10" t="str">
        <f t="shared" si="5"/>
        <v/>
      </c>
      <c r="I100" s="7" t="str">
        <f t="shared" si="6"/>
        <v/>
      </c>
      <c r="J100" s="7"/>
      <c r="K100" s="7" t="str">
        <f t="shared" si="7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9"/>
      <c r="G101" s="9"/>
      <c r="H101" s="10" t="str">
        <f t="shared" si="5"/>
        <v/>
      </c>
      <c r="I101" s="7" t="str">
        <f t="shared" si="6"/>
        <v/>
      </c>
      <c r="J101" s="7"/>
      <c r="K101" s="7" t="str">
        <f t="shared" si="7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9"/>
      <c r="G102" s="9"/>
      <c r="H102" s="10" t="str">
        <f t="shared" si="5"/>
        <v/>
      </c>
      <c r="I102" s="7" t="str">
        <f t="shared" si="6"/>
        <v/>
      </c>
      <c r="J102" s="7"/>
      <c r="K102" s="7" t="str">
        <f t="shared" si="7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9"/>
      <c r="G103" s="9"/>
      <c r="H103" s="10" t="str">
        <f t="shared" si="5"/>
        <v/>
      </c>
      <c r="I103" s="7" t="str">
        <f t="shared" si="6"/>
        <v/>
      </c>
      <c r="J103" s="7"/>
      <c r="K103" s="7" t="str">
        <f t="shared" si="7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9"/>
      <c r="G104" s="9"/>
      <c r="H104" s="10" t="str">
        <f t="shared" si="5"/>
        <v/>
      </c>
      <c r="I104" s="7" t="str">
        <f t="shared" si="6"/>
        <v/>
      </c>
      <c r="J104" s="7"/>
      <c r="K104" s="7" t="str">
        <f t="shared" si="7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9"/>
      <c r="G105" s="9"/>
      <c r="H105" s="10" t="str">
        <f t="shared" si="5"/>
        <v/>
      </c>
      <c r="I105" s="7" t="str">
        <f t="shared" si="6"/>
        <v/>
      </c>
      <c r="J105" s="7"/>
      <c r="K105" s="7" t="str">
        <f t="shared" si="7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9"/>
      <c r="G106" s="9"/>
      <c r="H106" s="10" t="str">
        <f t="shared" si="5"/>
        <v/>
      </c>
      <c r="I106" s="7" t="str">
        <f t="shared" si="6"/>
        <v/>
      </c>
      <c r="J106" s="7"/>
      <c r="K106" s="7" t="str">
        <f t="shared" si="7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9"/>
      <c r="G107" s="9"/>
      <c r="H107" s="10" t="str">
        <f t="shared" si="5"/>
        <v/>
      </c>
      <c r="I107" s="7" t="str">
        <f t="shared" si="6"/>
        <v/>
      </c>
      <c r="J107" s="7"/>
      <c r="K107" s="7" t="str">
        <f t="shared" si="7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9"/>
      <c r="G108" s="9"/>
      <c r="H108" s="10" t="str">
        <f t="shared" si="5"/>
        <v/>
      </c>
      <c r="I108" s="7" t="str">
        <f t="shared" si="6"/>
        <v/>
      </c>
      <c r="J108" s="7"/>
      <c r="K108" s="7" t="str">
        <f t="shared" si="7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9"/>
      <c r="G109" s="9"/>
      <c r="H109" s="10" t="str">
        <f t="shared" si="5"/>
        <v/>
      </c>
      <c r="I109" s="7" t="str">
        <f t="shared" si="6"/>
        <v/>
      </c>
      <c r="J109" s="7"/>
      <c r="K109" s="7" t="str">
        <f t="shared" si="7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9"/>
      <c r="G110" s="9"/>
      <c r="H110" s="10" t="str">
        <f t="shared" si="5"/>
        <v/>
      </c>
      <c r="I110" s="7" t="str">
        <f t="shared" si="6"/>
        <v/>
      </c>
      <c r="J110" s="7"/>
      <c r="K110" s="7" t="str">
        <f t="shared" si="7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9"/>
      <c r="G111" s="9"/>
      <c r="H111" s="10" t="str">
        <f t="shared" si="5"/>
        <v/>
      </c>
      <c r="I111" s="7" t="str">
        <f t="shared" si="6"/>
        <v/>
      </c>
      <c r="J111" s="7"/>
      <c r="K111" s="7" t="str">
        <f t="shared" si="7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9"/>
      <c r="G112" s="9"/>
      <c r="H112" s="10" t="str">
        <f t="shared" si="5"/>
        <v/>
      </c>
      <c r="I112" s="7" t="str">
        <f t="shared" si="6"/>
        <v/>
      </c>
      <c r="J112" s="7"/>
      <c r="K112" s="7" t="str">
        <f t="shared" si="7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9"/>
      <c r="G113" s="9"/>
      <c r="H113" s="10" t="str">
        <f t="shared" si="5"/>
        <v/>
      </c>
      <c r="I113" s="7" t="str">
        <f t="shared" si="6"/>
        <v/>
      </c>
      <c r="J113" s="7"/>
      <c r="K113" s="7" t="str">
        <f t="shared" si="7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9"/>
      <c r="G114" s="9"/>
      <c r="H114" s="10" t="str">
        <f t="shared" si="5"/>
        <v/>
      </c>
      <c r="I114" s="7" t="str">
        <f t="shared" si="6"/>
        <v/>
      </c>
      <c r="J114" s="7"/>
      <c r="K114" s="7" t="str">
        <f t="shared" si="7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9"/>
      <c r="G115" s="9"/>
      <c r="H115" s="10" t="str">
        <f t="shared" si="5"/>
        <v/>
      </c>
      <c r="I115" s="7" t="str">
        <f t="shared" si="6"/>
        <v/>
      </c>
      <c r="J115" s="7"/>
      <c r="K115" s="7" t="str">
        <f t="shared" si="7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9"/>
      <c r="G116" s="9"/>
      <c r="H116" s="10" t="str">
        <f t="shared" si="5"/>
        <v/>
      </c>
      <c r="I116" s="7" t="str">
        <f t="shared" si="6"/>
        <v/>
      </c>
      <c r="J116" s="7"/>
      <c r="K116" s="7" t="str">
        <f t="shared" si="7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9"/>
      <c r="G117" s="9"/>
      <c r="H117" s="10" t="str">
        <f t="shared" si="5"/>
        <v/>
      </c>
      <c r="I117" s="7" t="str">
        <f t="shared" si="6"/>
        <v/>
      </c>
      <c r="J117" s="7"/>
      <c r="K117" s="7" t="str">
        <f t="shared" si="7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9"/>
      <c r="G118" s="9"/>
      <c r="H118" s="10" t="str">
        <f t="shared" si="5"/>
        <v/>
      </c>
      <c r="I118" s="7" t="str">
        <f t="shared" si="6"/>
        <v/>
      </c>
      <c r="J118" s="7"/>
      <c r="K118" s="7" t="str">
        <f t="shared" si="7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9"/>
      <c r="G119" s="9"/>
      <c r="H119" s="10" t="str">
        <f t="shared" si="5"/>
        <v/>
      </c>
      <c r="I119" s="7" t="str">
        <f t="shared" si="6"/>
        <v/>
      </c>
      <c r="J119" s="7"/>
      <c r="K119" s="7" t="str">
        <f t="shared" si="7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9"/>
      <c r="G120" s="9"/>
      <c r="H120" s="10" t="str">
        <f t="shared" si="5"/>
        <v/>
      </c>
      <c r="I120" s="7" t="str">
        <f t="shared" si="6"/>
        <v/>
      </c>
      <c r="J120" s="7"/>
      <c r="K120" s="7" t="str">
        <f t="shared" si="7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9"/>
      <c r="G121" s="9"/>
      <c r="H121" s="10" t="str">
        <f t="shared" si="5"/>
        <v/>
      </c>
      <c r="I121" s="7" t="str">
        <f t="shared" si="6"/>
        <v/>
      </c>
      <c r="J121" s="7"/>
      <c r="K121" s="7" t="str">
        <f t="shared" si="7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9"/>
      <c r="G122" s="9"/>
      <c r="H122" s="10" t="str">
        <f t="shared" si="5"/>
        <v/>
      </c>
      <c r="I122" s="7" t="str">
        <f t="shared" si="6"/>
        <v/>
      </c>
      <c r="J122" s="7"/>
      <c r="K122" s="7" t="str">
        <f t="shared" si="7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9"/>
      <c r="G123" s="9"/>
      <c r="H123" s="10" t="str">
        <f t="shared" si="5"/>
        <v/>
      </c>
      <c r="I123" s="7" t="str">
        <f t="shared" si="6"/>
        <v/>
      </c>
      <c r="J123" s="7"/>
      <c r="K123" s="7" t="str">
        <f t="shared" si="7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9"/>
      <c r="G124" s="9"/>
      <c r="H124" s="10" t="str">
        <f t="shared" si="5"/>
        <v/>
      </c>
      <c r="I124" s="7" t="str">
        <f t="shared" si="6"/>
        <v/>
      </c>
      <c r="J124" s="7"/>
      <c r="K124" s="7" t="str">
        <f t="shared" si="7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9"/>
      <c r="G125" s="9"/>
      <c r="H125" s="10" t="str">
        <f t="shared" si="5"/>
        <v/>
      </c>
      <c r="I125" s="7" t="str">
        <f t="shared" si="6"/>
        <v/>
      </c>
      <c r="J125" s="7"/>
      <c r="K125" s="7" t="str">
        <f t="shared" si="7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9"/>
      <c r="G126" s="9"/>
      <c r="H126" s="10" t="str">
        <f t="shared" si="5"/>
        <v/>
      </c>
      <c r="I126" s="7" t="str">
        <f t="shared" si="6"/>
        <v/>
      </c>
      <c r="J126" s="7"/>
      <c r="K126" s="7" t="str">
        <f t="shared" si="7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9"/>
      <c r="G127" s="9"/>
      <c r="H127" s="10" t="str">
        <f t="shared" si="5"/>
        <v/>
      </c>
      <c r="I127" s="7" t="str">
        <f t="shared" si="6"/>
        <v/>
      </c>
      <c r="J127" s="7"/>
      <c r="K127" s="7" t="str">
        <f t="shared" si="7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9"/>
      <c r="G128" s="9"/>
      <c r="H128" s="10" t="str">
        <f t="shared" si="5"/>
        <v/>
      </c>
      <c r="I128" s="7" t="str">
        <f t="shared" si="6"/>
        <v/>
      </c>
      <c r="J128" s="7"/>
      <c r="K128" s="7" t="str">
        <f t="shared" si="7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9"/>
      <c r="G129" s="9"/>
      <c r="H129" s="10" t="str">
        <f t="shared" si="5"/>
        <v/>
      </c>
      <c r="I129" s="7" t="str">
        <f t="shared" si="6"/>
        <v/>
      </c>
      <c r="J129" s="7"/>
      <c r="K129" s="7" t="str">
        <f t="shared" si="7"/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9"/>
      <c r="G130" s="9"/>
      <c r="H130" s="10" t="str">
        <f t="shared" si="5"/>
        <v/>
      </c>
      <c r="I130" s="7" t="str">
        <f t="shared" si="6"/>
        <v/>
      </c>
      <c r="J130" s="7"/>
      <c r="K130" s="7" t="str">
        <f t="shared" ref="K130:K161" si="8">IF(A130="","",A130&amp;"|"&amp;TEXT(F130,"yyyymmdd")&amp;"|"&amp;TEXT(G130,"yyyymmdd"))</f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9"/>
      <c r="G131" s="9"/>
      <c r="H131" s="10" t="str">
        <f t="shared" ref="H131:H194" si="9">IF(OR(F131="",G131=""),"",G131-F131+1)</f>
        <v/>
      </c>
      <c r="I131" s="7" t="str">
        <f t="shared" ref="I131:I194" si="10">IF(A131="","","PENDIENTE")</f>
        <v/>
      </c>
      <c r="J131" s="7"/>
      <c r="K131" s="7" t="str">
        <f t="shared" si="8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9"/>
      <c r="G132" s="9"/>
      <c r="H132" s="10" t="str">
        <f t="shared" si="9"/>
        <v/>
      </c>
      <c r="I132" s="7" t="str">
        <f t="shared" si="10"/>
        <v/>
      </c>
      <c r="J132" s="7"/>
      <c r="K132" s="7" t="str">
        <f t="shared" si="8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9"/>
      <c r="G133" s="9"/>
      <c r="H133" s="10" t="str">
        <f t="shared" si="9"/>
        <v/>
      </c>
      <c r="I133" s="7" t="str">
        <f t="shared" si="10"/>
        <v/>
      </c>
      <c r="J133" s="7"/>
      <c r="K133" s="7" t="str">
        <f t="shared" si="8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9"/>
      <c r="G134" s="9"/>
      <c r="H134" s="10" t="str">
        <f t="shared" si="9"/>
        <v/>
      </c>
      <c r="I134" s="7" t="str">
        <f t="shared" si="10"/>
        <v/>
      </c>
      <c r="J134" s="7"/>
      <c r="K134" s="7" t="str">
        <f t="shared" si="8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9"/>
      <c r="G135" s="9"/>
      <c r="H135" s="10" t="str">
        <f t="shared" si="9"/>
        <v/>
      </c>
      <c r="I135" s="7" t="str">
        <f t="shared" si="10"/>
        <v/>
      </c>
      <c r="J135" s="7"/>
      <c r="K135" s="7" t="str">
        <f t="shared" si="8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9"/>
      <c r="G136" s="9"/>
      <c r="H136" s="10" t="str">
        <f t="shared" si="9"/>
        <v/>
      </c>
      <c r="I136" s="7" t="str">
        <f t="shared" si="10"/>
        <v/>
      </c>
      <c r="J136" s="7"/>
      <c r="K136" s="7" t="str">
        <f t="shared" si="8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9"/>
      <c r="G137" s="9"/>
      <c r="H137" s="10" t="str">
        <f t="shared" si="9"/>
        <v/>
      </c>
      <c r="I137" s="7" t="str">
        <f t="shared" si="10"/>
        <v/>
      </c>
      <c r="J137" s="7"/>
      <c r="K137" s="7" t="str">
        <f t="shared" si="8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9"/>
      <c r="G138" s="9"/>
      <c r="H138" s="10" t="str">
        <f t="shared" si="9"/>
        <v/>
      </c>
      <c r="I138" s="7" t="str">
        <f t="shared" si="10"/>
        <v/>
      </c>
      <c r="J138" s="7"/>
      <c r="K138" s="7" t="str">
        <f t="shared" si="8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9"/>
      <c r="G139" s="9"/>
      <c r="H139" s="10" t="str">
        <f t="shared" si="9"/>
        <v/>
      </c>
      <c r="I139" s="7" t="str">
        <f t="shared" si="10"/>
        <v/>
      </c>
      <c r="J139" s="7"/>
      <c r="K139" s="7" t="str">
        <f t="shared" si="8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9"/>
      <c r="G140" s="9"/>
      <c r="H140" s="10" t="str">
        <f t="shared" si="9"/>
        <v/>
      </c>
      <c r="I140" s="7" t="str">
        <f t="shared" si="10"/>
        <v/>
      </c>
      <c r="J140" s="7"/>
      <c r="K140" s="7" t="str">
        <f t="shared" si="8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9"/>
      <c r="G141" s="9"/>
      <c r="H141" s="10" t="str">
        <f t="shared" si="9"/>
        <v/>
      </c>
      <c r="I141" s="7" t="str">
        <f t="shared" si="10"/>
        <v/>
      </c>
      <c r="J141" s="7"/>
      <c r="K141" s="7" t="str">
        <f t="shared" si="8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9"/>
      <c r="G142" s="9"/>
      <c r="H142" s="10" t="str">
        <f t="shared" si="9"/>
        <v/>
      </c>
      <c r="I142" s="7" t="str">
        <f t="shared" si="10"/>
        <v/>
      </c>
      <c r="J142" s="7"/>
      <c r="K142" s="7" t="str">
        <f t="shared" si="8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9"/>
      <c r="G143" s="9"/>
      <c r="H143" s="10" t="str">
        <f t="shared" si="9"/>
        <v/>
      </c>
      <c r="I143" s="7" t="str">
        <f t="shared" si="10"/>
        <v/>
      </c>
      <c r="J143" s="7"/>
      <c r="K143" s="7" t="str">
        <f t="shared" si="8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9"/>
      <c r="G144" s="9"/>
      <c r="H144" s="10" t="str">
        <f t="shared" si="9"/>
        <v/>
      </c>
      <c r="I144" s="7" t="str">
        <f t="shared" si="10"/>
        <v/>
      </c>
      <c r="J144" s="7"/>
      <c r="K144" s="7" t="str">
        <f t="shared" si="8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9"/>
      <c r="G145" s="9"/>
      <c r="H145" s="10" t="str">
        <f t="shared" si="9"/>
        <v/>
      </c>
      <c r="I145" s="7" t="str">
        <f t="shared" si="10"/>
        <v/>
      </c>
      <c r="J145" s="7"/>
      <c r="K145" s="7" t="str">
        <f t="shared" si="8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9"/>
      <c r="G146" s="9"/>
      <c r="H146" s="10" t="str">
        <f t="shared" si="9"/>
        <v/>
      </c>
      <c r="I146" s="7" t="str">
        <f t="shared" si="10"/>
        <v/>
      </c>
      <c r="J146" s="7"/>
      <c r="K146" s="7" t="str">
        <f t="shared" si="8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9"/>
      <c r="G147" s="9"/>
      <c r="H147" s="10" t="str">
        <f t="shared" si="9"/>
        <v/>
      </c>
      <c r="I147" s="7" t="str">
        <f t="shared" si="10"/>
        <v/>
      </c>
      <c r="J147" s="7"/>
      <c r="K147" s="7" t="str">
        <f t="shared" si="8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9"/>
      <c r="G148" s="9"/>
      <c r="H148" s="10" t="str">
        <f t="shared" si="9"/>
        <v/>
      </c>
      <c r="I148" s="7" t="str">
        <f t="shared" si="10"/>
        <v/>
      </c>
      <c r="J148" s="7"/>
      <c r="K148" s="7" t="str">
        <f t="shared" si="8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9"/>
      <c r="G149" s="9"/>
      <c r="H149" s="10" t="str">
        <f t="shared" si="9"/>
        <v/>
      </c>
      <c r="I149" s="7" t="str">
        <f t="shared" si="10"/>
        <v/>
      </c>
      <c r="J149" s="7"/>
      <c r="K149" s="7" t="str">
        <f t="shared" si="8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9"/>
      <c r="G150" s="9"/>
      <c r="H150" s="10" t="str">
        <f t="shared" si="9"/>
        <v/>
      </c>
      <c r="I150" s="7" t="str">
        <f t="shared" si="10"/>
        <v/>
      </c>
      <c r="J150" s="7"/>
      <c r="K150" s="7" t="str">
        <f t="shared" si="8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9"/>
      <c r="G151" s="9"/>
      <c r="H151" s="10" t="str">
        <f t="shared" si="9"/>
        <v/>
      </c>
      <c r="I151" s="7" t="str">
        <f t="shared" si="10"/>
        <v/>
      </c>
      <c r="J151" s="7"/>
      <c r="K151" s="7" t="str">
        <f t="shared" si="8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9"/>
      <c r="G152" s="9"/>
      <c r="H152" s="10" t="str">
        <f t="shared" si="9"/>
        <v/>
      </c>
      <c r="I152" s="7" t="str">
        <f t="shared" si="10"/>
        <v/>
      </c>
      <c r="J152" s="7"/>
      <c r="K152" s="7" t="str">
        <f t="shared" si="8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9"/>
      <c r="G153" s="9"/>
      <c r="H153" s="10" t="str">
        <f t="shared" si="9"/>
        <v/>
      </c>
      <c r="I153" s="7" t="str">
        <f t="shared" si="10"/>
        <v/>
      </c>
      <c r="J153" s="7"/>
      <c r="K153" s="7" t="str">
        <f t="shared" si="8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9"/>
      <c r="G154" s="9"/>
      <c r="H154" s="10" t="str">
        <f t="shared" si="9"/>
        <v/>
      </c>
      <c r="I154" s="7" t="str">
        <f t="shared" si="10"/>
        <v/>
      </c>
      <c r="J154" s="7"/>
      <c r="K154" s="7" t="str">
        <f t="shared" si="8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9"/>
      <c r="G155" s="9"/>
      <c r="H155" s="10" t="str">
        <f t="shared" si="9"/>
        <v/>
      </c>
      <c r="I155" s="7" t="str">
        <f t="shared" si="10"/>
        <v/>
      </c>
      <c r="J155" s="7"/>
      <c r="K155" s="7" t="str">
        <f t="shared" si="8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9"/>
      <c r="G156" s="9"/>
      <c r="H156" s="10" t="str">
        <f t="shared" si="9"/>
        <v/>
      </c>
      <c r="I156" s="7" t="str">
        <f t="shared" si="10"/>
        <v/>
      </c>
      <c r="J156" s="7"/>
      <c r="K156" s="7" t="str">
        <f t="shared" si="8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9"/>
      <c r="G157" s="9"/>
      <c r="H157" s="10" t="str">
        <f t="shared" si="9"/>
        <v/>
      </c>
      <c r="I157" s="7" t="str">
        <f t="shared" si="10"/>
        <v/>
      </c>
      <c r="J157" s="7"/>
      <c r="K157" s="7" t="str">
        <f t="shared" si="8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9"/>
      <c r="G158" s="9"/>
      <c r="H158" s="10" t="str">
        <f t="shared" si="9"/>
        <v/>
      </c>
      <c r="I158" s="7" t="str">
        <f t="shared" si="10"/>
        <v/>
      </c>
      <c r="J158" s="7"/>
      <c r="K158" s="7" t="str">
        <f t="shared" si="8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9"/>
      <c r="G159" s="9"/>
      <c r="H159" s="10" t="str">
        <f t="shared" si="9"/>
        <v/>
      </c>
      <c r="I159" s="7" t="str">
        <f t="shared" si="10"/>
        <v/>
      </c>
      <c r="J159" s="7"/>
      <c r="K159" s="7" t="str">
        <f t="shared" si="8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9"/>
      <c r="G160" s="9"/>
      <c r="H160" s="10" t="str">
        <f t="shared" si="9"/>
        <v/>
      </c>
      <c r="I160" s="7" t="str">
        <f t="shared" si="10"/>
        <v/>
      </c>
      <c r="J160" s="7"/>
      <c r="K160" s="7" t="str">
        <f t="shared" si="8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9"/>
      <c r="G161" s="9"/>
      <c r="H161" s="10" t="str">
        <f t="shared" si="9"/>
        <v/>
      </c>
      <c r="I161" s="7" t="str">
        <f t="shared" si="10"/>
        <v/>
      </c>
      <c r="J161" s="7"/>
      <c r="K161" s="7" t="str">
        <f t="shared" si="8"/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9"/>
      <c r="G162" s="9"/>
      <c r="H162" s="10" t="str">
        <f t="shared" si="9"/>
        <v/>
      </c>
      <c r="I162" s="7" t="str">
        <f t="shared" si="10"/>
        <v/>
      </c>
      <c r="J162" s="7"/>
      <c r="K162" s="7" t="str">
        <f t="shared" ref="K162:K193" si="11">IF(A162="","",A162&amp;"|"&amp;TEXT(F162,"yyyymmdd")&amp;"|"&amp;TEXT(G162,"yyyymmdd"))</f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9"/>
      <c r="G163" s="9"/>
      <c r="H163" s="10" t="str">
        <f t="shared" si="9"/>
        <v/>
      </c>
      <c r="I163" s="7" t="str">
        <f t="shared" si="10"/>
        <v/>
      </c>
      <c r="J163" s="7"/>
      <c r="K163" s="7" t="str">
        <f t="shared" si="11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9"/>
      <c r="G164" s="9"/>
      <c r="H164" s="10" t="str">
        <f t="shared" si="9"/>
        <v/>
      </c>
      <c r="I164" s="7" t="str">
        <f t="shared" si="10"/>
        <v/>
      </c>
      <c r="J164" s="7"/>
      <c r="K164" s="7" t="str">
        <f t="shared" si="11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9"/>
      <c r="G165" s="9"/>
      <c r="H165" s="10" t="str">
        <f t="shared" si="9"/>
        <v/>
      </c>
      <c r="I165" s="7" t="str">
        <f t="shared" si="10"/>
        <v/>
      </c>
      <c r="J165" s="7"/>
      <c r="K165" s="7" t="str">
        <f t="shared" si="11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9"/>
      <c r="G166" s="9"/>
      <c r="H166" s="10" t="str">
        <f t="shared" si="9"/>
        <v/>
      </c>
      <c r="I166" s="7" t="str">
        <f t="shared" si="10"/>
        <v/>
      </c>
      <c r="J166" s="7"/>
      <c r="K166" s="7" t="str">
        <f t="shared" si="11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9"/>
      <c r="G167" s="9"/>
      <c r="H167" s="10" t="str">
        <f t="shared" si="9"/>
        <v/>
      </c>
      <c r="I167" s="7" t="str">
        <f t="shared" si="10"/>
        <v/>
      </c>
      <c r="J167" s="7"/>
      <c r="K167" s="7" t="str">
        <f t="shared" si="11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9"/>
      <c r="G168" s="9"/>
      <c r="H168" s="10" t="str">
        <f t="shared" si="9"/>
        <v/>
      </c>
      <c r="I168" s="7" t="str">
        <f t="shared" si="10"/>
        <v/>
      </c>
      <c r="J168" s="7"/>
      <c r="K168" s="7" t="str">
        <f t="shared" si="11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9"/>
      <c r="G169" s="9"/>
      <c r="H169" s="10" t="str">
        <f t="shared" si="9"/>
        <v/>
      </c>
      <c r="I169" s="7" t="str">
        <f t="shared" si="10"/>
        <v/>
      </c>
      <c r="J169" s="7"/>
      <c r="K169" s="7" t="str">
        <f t="shared" si="11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9"/>
      <c r="G170" s="9"/>
      <c r="H170" s="10" t="str">
        <f t="shared" si="9"/>
        <v/>
      </c>
      <c r="I170" s="7" t="str">
        <f t="shared" si="10"/>
        <v/>
      </c>
      <c r="J170" s="7"/>
      <c r="K170" s="7" t="str">
        <f t="shared" si="11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9"/>
      <c r="G171" s="9"/>
      <c r="H171" s="10" t="str">
        <f t="shared" si="9"/>
        <v/>
      </c>
      <c r="I171" s="7" t="str">
        <f t="shared" si="10"/>
        <v/>
      </c>
      <c r="J171" s="7"/>
      <c r="K171" s="7" t="str">
        <f t="shared" si="11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9"/>
      <c r="G172" s="9"/>
      <c r="H172" s="10" t="str">
        <f t="shared" si="9"/>
        <v/>
      </c>
      <c r="I172" s="7" t="str">
        <f t="shared" si="10"/>
        <v/>
      </c>
      <c r="J172" s="7"/>
      <c r="K172" s="7" t="str">
        <f t="shared" si="11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9"/>
      <c r="G173" s="9"/>
      <c r="H173" s="10" t="str">
        <f t="shared" si="9"/>
        <v/>
      </c>
      <c r="I173" s="7" t="str">
        <f t="shared" si="10"/>
        <v/>
      </c>
      <c r="J173" s="7"/>
      <c r="K173" s="7" t="str">
        <f t="shared" si="11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9"/>
      <c r="G174" s="9"/>
      <c r="H174" s="10" t="str">
        <f t="shared" si="9"/>
        <v/>
      </c>
      <c r="I174" s="7" t="str">
        <f t="shared" si="10"/>
        <v/>
      </c>
      <c r="J174" s="7"/>
      <c r="K174" s="7" t="str">
        <f t="shared" si="11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9"/>
      <c r="G175" s="9"/>
      <c r="H175" s="10" t="str">
        <f t="shared" si="9"/>
        <v/>
      </c>
      <c r="I175" s="7" t="str">
        <f t="shared" si="10"/>
        <v/>
      </c>
      <c r="J175" s="7"/>
      <c r="K175" s="7" t="str">
        <f t="shared" si="11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9"/>
      <c r="G176" s="9"/>
      <c r="H176" s="10" t="str">
        <f t="shared" si="9"/>
        <v/>
      </c>
      <c r="I176" s="7" t="str">
        <f t="shared" si="10"/>
        <v/>
      </c>
      <c r="J176" s="7"/>
      <c r="K176" s="7" t="str">
        <f t="shared" si="11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9"/>
      <c r="G177" s="9"/>
      <c r="H177" s="10" t="str">
        <f t="shared" si="9"/>
        <v/>
      </c>
      <c r="I177" s="7" t="str">
        <f t="shared" si="10"/>
        <v/>
      </c>
      <c r="J177" s="7"/>
      <c r="K177" s="7" t="str">
        <f t="shared" si="11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9"/>
      <c r="G178" s="9"/>
      <c r="H178" s="10" t="str">
        <f t="shared" si="9"/>
        <v/>
      </c>
      <c r="I178" s="7" t="str">
        <f t="shared" si="10"/>
        <v/>
      </c>
      <c r="J178" s="7"/>
      <c r="K178" s="7" t="str">
        <f t="shared" si="11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9"/>
      <c r="G179" s="9"/>
      <c r="H179" s="10" t="str">
        <f t="shared" si="9"/>
        <v/>
      </c>
      <c r="I179" s="7" t="str">
        <f t="shared" si="10"/>
        <v/>
      </c>
      <c r="J179" s="7"/>
      <c r="K179" s="7" t="str">
        <f t="shared" si="11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9"/>
      <c r="G180" s="9"/>
      <c r="H180" s="10" t="str">
        <f t="shared" si="9"/>
        <v/>
      </c>
      <c r="I180" s="7" t="str">
        <f t="shared" si="10"/>
        <v/>
      </c>
      <c r="J180" s="7"/>
      <c r="K180" s="7" t="str">
        <f t="shared" si="11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9"/>
      <c r="G181" s="9"/>
      <c r="H181" s="10" t="str">
        <f t="shared" si="9"/>
        <v/>
      </c>
      <c r="I181" s="7" t="str">
        <f t="shared" si="10"/>
        <v/>
      </c>
      <c r="J181" s="7"/>
      <c r="K181" s="7" t="str">
        <f t="shared" si="11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9"/>
      <c r="G182" s="9"/>
      <c r="H182" s="10" t="str">
        <f t="shared" si="9"/>
        <v/>
      </c>
      <c r="I182" s="7" t="str">
        <f t="shared" si="10"/>
        <v/>
      </c>
      <c r="J182" s="7"/>
      <c r="K182" s="7" t="str">
        <f t="shared" si="11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9"/>
      <c r="G183" s="9"/>
      <c r="H183" s="10" t="str">
        <f t="shared" si="9"/>
        <v/>
      </c>
      <c r="I183" s="7" t="str">
        <f t="shared" si="10"/>
        <v/>
      </c>
      <c r="J183" s="7"/>
      <c r="K183" s="7" t="str">
        <f t="shared" si="11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9"/>
      <c r="G184" s="9"/>
      <c r="H184" s="10" t="str">
        <f t="shared" si="9"/>
        <v/>
      </c>
      <c r="I184" s="7" t="str">
        <f t="shared" si="10"/>
        <v/>
      </c>
      <c r="J184" s="7"/>
      <c r="K184" s="7" t="str">
        <f t="shared" si="11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9"/>
      <c r="G185" s="9"/>
      <c r="H185" s="10" t="str">
        <f t="shared" si="9"/>
        <v/>
      </c>
      <c r="I185" s="7" t="str">
        <f t="shared" si="10"/>
        <v/>
      </c>
      <c r="J185" s="7"/>
      <c r="K185" s="7" t="str">
        <f t="shared" si="11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9"/>
      <c r="G186" s="9"/>
      <c r="H186" s="10" t="str">
        <f t="shared" si="9"/>
        <v/>
      </c>
      <c r="I186" s="7" t="str">
        <f t="shared" si="10"/>
        <v/>
      </c>
      <c r="J186" s="7"/>
      <c r="K186" s="7" t="str">
        <f t="shared" si="11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9"/>
      <c r="G187" s="9"/>
      <c r="H187" s="10" t="str">
        <f t="shared" si="9"/>
        <v/>
      </c>
      <c r="I187" s="7" t="str">
        <f t="shared" si="10"/>
        <v/>
      </c>
      <c r="J187" s="7"/>
      <c r="K187" s="7" t="str">
        <f t="shared" si="11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9"/>
      <c r="G188" s="9"/>
      <c r="H188" s="10" t="str">
        <f t="shared" si="9"/>
        <v/>
      </c>
      <c r="I188" s="7" t="str">
        <f t="shared" si="10"/>
        <v/>
      </c>
      <c r="J188" s="7"/>
      <c r="K188" s="7" t="str">
        <f t="shared" si="11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9"/>
      <c r="G189" s="9"/>
      <c r="H189" s="10" t="str">
        <f t="shared" si="9"/>
        <v/>
      </c>
      <c r="I189" s="7" t="str">
        <f t="shared" si="10"/>
        <v/>
      </c>
      <c r="J189" s="7"/>
      <c r="K189" s="7" t="str">
        <f t="shared" si="11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9"/>
      <c r="G190" s="9"/>
      <c r="H190" s="10" t="str">
        <f t="shared" si="9"/>
        <v/>
      </c>
      <c r="I190" s="7" t="str">
        <f t="shared" si="10"/>
        <v/>
      </c>
      <c r="J190" s="7"/>
      <c r="K190" s="7" t="str">
        <f t="shared" si="11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9"/>
      <c r="G191" s="9"/>
      <c r="H191" s="10" t="str">
        <f t="shared" si="9"/>
        <v/>
      </c>
      <c r="I191" s="7" t="str">
        <f t="shared" si="10"/>
        <v/>
      </c>
      <c r="J191" s="7"/>
      <c r="K191" s="7" t="str">
        <f t="shared" si="11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9"/>
      <c r="G192" s="9"/>
      <c r="H192" s="10" t="str">
        <f t="shared" si="9"/>
        <v/>
      </c>
      <c r="I192" s="7" t="str">
        <f t="shared" si="10"/>
        <v/>
      </c>
      <c r="J192" s="7"/>
      <c r="K192" s="7" t="str">
        <f t="shared" si="11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9"/>
      <c r="G193" s="9"/>
      <c r="H193" s="10" t="str">
        <f t="shared" si="9"/>
        <v/>
      </c>
      <c r="I193" s="7" t="str">
        <f t="shared" si="10"/>
        <v/>
      </c>
      <c r="J193" s="7"/>
      <c r="K193" s="7" t="str">
        <f t="shared" si="11"/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9"/>
      <c r="G194" s="9"/>
      <c r="H194" s="10" t="str">
        <f t="shared" si="9"/>
        <v/>
      </c>
      <c r="I194" s="7" t="str">
        <f t="shared" si="10"/>
        <v/>
      </c>
      <c r="J194" s="7"/>
      <c r="K194" s="7" t="str">
        <f t="shared" ref="K194:K201" si="12">IF(A194="","",A194&amp;"|"&amp;TEXT(F194,"yyyymmdd")&amp;"|"&amp;TEXT(G194,"yyyymmdd"))</f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9"/>
      <c r="G195" s="9"/>
      <c r="H195" s="10" t="str">
        <f t="shared" ref="H195:H201" si="13">IF(OR(F195="",G195=""),"",G195-F195+1)</f>
        <v/>
      </c>
      <c r="I195" s="7" t="str">
        <f t="shared" ref="I195:I201" si="14">IF(A195="","","PENDIENTE")</f>
        <v/>
      </c>
      <c r="J195" s="7"/>
      <c r="K195" s="7" t="str">
        <f t="shared" si="12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9"/>
      <c r="G196" s="9"/>
      <c r="H196" s="10" t="str">
        <f t="shared" si="13"/>
        <v/>
      </c>
      <c r="I196" s="7" t="str">
        <f t="shared" si="14"/>
        <v/>
      </c>
      <c r="J196" s="7"/>
      <c r="K196" s="7" t="str">
        <f t="shared" si="12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9"/>
      <c r="G197" s="9"/>
      <c r="H197" s="10" t="str">
        <f t="shared" si="13"/>
        <v/>
      </c>
      <c r="I197" s="7" t="str">
        <f t="shared" si="14"/>
        <v/>
      </c>
      <c r="J197" s="7"/>
      <c r="K197" s="7" t="str">
        <f t="shared" si="12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9"/>
      <c r="G198" s="9"/>
      <c r="H198" s="10" t="str">
        <f t="shared" si="13"/>
        <v/>
      </c>
      <c r="I198" s="7" t="str">
        <f t="shared" si="14"/>
        <v/>
      </c>
      <c r="J198" s="7"/>
      <c r="K198" s="7" t="str">
        <f t="shared" si="12"/>
        <v/>
      </c>
    </row>
    <row r="199" spans="1:11" x14ac:dyDescent="0.3">
      <c r="A199" s="7"/>
      <c r="B199" s="7" t="str">
        <f>IF(A199="","",IFERROR(VLOOKUP(A199,Empleados!A:B,2,FALSE),""))</f>
        <v/>
      </c>
      <c r="C199" s="7" t="str">
        <f>IF(A199="","",IFERROR(VLOOKUP(A199,Empleados!A:I,9,FALSE),""))</f>
        <v/>
      </c>
      <c r="D199" s="7" t="str">
        <f>IF(A199="","",IFERROR(VLOOKUP(A199,Empleados!A:H,8,FALSE),""))</f>
        <v/>
      </c>
      <c r="E199" s="7"/>
      <c r="F199" s="9"/>
      <c r="G199" s="9"/>
      <c r="H199" s="10" t="str">
        <f t="shared" si="13"/>
        <v/>
      </c>
      <c r="I199" s="7" t="str">
        <f t="shared" si="14"/>
        <v/>
      </c>
      <c r="J199" s="7"/>
      <c r="K199" s="7" t="str">
        <f t="shared" si="12"/>
        <v/>
      </c>
    </row>
    <row r="200" spans="1:11" x14ac:dyDescent="0.3">
      <c r="A200" s="7"/>
      <c r="B200" s="7" t="str">
        <f>IF(A200="","",IFERROR(VLOOKUP(A200,Empleados!A:B,2,FALSE),""))</f>
        <v/>
      </c>
      <c r="C200" s="7" t="str">
        <f>IF(A200="","",IFERROR(VLOOKUP(A200,Empleados!A:I,9,FALSE),""))</f>
        <v/>
      </c>
      <c r="D200" s="7" t="str">
        <f>IF(A200="","",IFERROR(VLOOKUP(A200,Empleados!A:H,8,FALSE),""))</f>
        <v/>
      </c>
      <c r="E200" s="7"/>
      <c r="F200" s="9"/>
      <c r="G200" s="9"/>
      <c r="H200" s="10" t="str">
        <f t="shared" si="13"/>
        <v/>
      </c>
      <c r="I200" s="7" t="str">
        <f t="shared" si="14"/>
        <v/>
      </c>
      <c r="J200" s="7"/>
      <c r="K200" s="7" t="str">
        <f t="shared" si="12"/>
        <v/>
      </c>
    </row>
    <row r="201" spans="1:11" x14ac:dyDescent="0.3">
      <c r="A201" s="7"/>
      <c r="B201" s="7" t="str">
        <f>IF(A201="","",IFERROR(VLOOKUP(A201,Empleados!A:B,2,FALSE),""))</f>
        <v/>
      </c>
      <c r="C201" s="7" t="str">
        <f>IF(A201="","",IFERROR(VLOOKUP(A201,Empleados!A:I,9,FALSE),""))</f>
        <v/>
      </c>
      <c r="D201" s="7" t="str">
        <f>IF(A201="","",IFERROR(VLOOKUP(A201,Empleados!A:H,8,FALSE),""))</f>
        <v/>
      </c>
      <c r="E201" s="7"/>
      <c r="F201" s="9"/>
      <c r="G201" s="9"/>
      <c r="H201" s="10" t="str">
        <f t="shared" si="13"/>
        <v/>
      </c>
      <c r="I201" s="7" t="str">
        <f t="shared" si="14"/>
        <v/>
      </c>
      <c r="J201" s="7"/>
      <c r="K201" s="7" t="str">
        <f t="shared" si="12"/>
        <v/>
      </c>
    </row>
  </sheetData>
  <conditionalFormatting sqref="E2:E201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201">
    <cfRule type="expression" dxfId="1" priority="3">
      <formula>$I2="PENDIENTE"</formula>
    </cfRule>
    <cfRule type="expression" dxfId="0" priority="4">
      <formula>$I2="APROBADO"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200-000000000000}">
          <x14:formula1>
            <xm:f>Empleados!$A$2:$A$29</xm:f>
          </x14:formula1>
          <xm:sqref>A2:A201</xm:sqref>
        </x14:dataValidation>
        <x14:dataValidation type="list" xr:uid="{00000000-0002-0000-0200-000001000000}">
          <x14:formula1>
            <xm:f>Config!$A$2:$A$11</xm:f>
          </x14:formula1>
          <xm:sqref>E2:E201</xm:sqref>
        </x14:dataValidation>
        <x14:dataValidation type="list" xr:uid="{00000000-0002-0000-0200-000002000000}">
          <x14:formula1>
            <xm:f>Config!$C$2:$C$6</xm:f>
          </x14:formula1>
          <xm:sqref>I2:I201</xm:sqref>
        </x14:dataValidation>
        <x14:dataValidation type="list" allowBlank="1" xr:uid="{52901C7F-A1CD-44B1-99A3-8F2BF634D822}">
          <x14:formula1>
            <xm:f>Config!$A:$A</xm:f>
          </x14:formula1>
          <xm:sqref>E2:E201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selection activeCell="B7" sqref="B7"/>
    </sheetView>
  </sheetViews>
  <sheetFormatPr baseColWidth="10" defaultColWidth="8.88671875" defaultRowHeight="14.4" x14ac:dyDescent="0.3"/>
  <cols>
    <col min="1" max="2" width="25" customWidth="1"/>
    <col min="4" max="5" width="25" customWidth="1"/>
  </cols>
  <sheetData>
    <row r="1" spans="1:5" ht="18" x14ac:dyDescent="0.35">
      <c r="A1" s="12" t="s">
        <v>78</v>
      </c>
      <c r="B1" s="13"/>
      <c r="C1" s="13"/>
      <c r="D1" s="13"/>
    </row>
    <row r="3" spans="1:5" x14ac:dyDescent="0.3">
      <c r="A3" s="6" t="s">
        <v>79</v>
      </c>
      <c r="B3" s="6" t="s">
        <v>80</v>
      </c>
      <c r="D3" s="6" t="s">
        <v>81</v>
      </c>
      <c r="E3" s="6" t="s">
        <v>82</v>
      </c>
    </row>
    <row r="4" spans="1:5" x14ac:dyDescent="0.3">
      <c r="A4" t="s">
        <v>83</v>
      </c>
      <c r="B4" s="8">
        <f>COUNTA(Ausencias!A2:A201)</f>
        <v>1</v>
      </c>
      <c r="D4" t="s">
        <v>49</v>
      </c>
      <c r="E4">
        <f>COUNTIF(Ausencias!E2:E201,"VACACIONES")</f>
        <v>0</v>
      </c>
    </row>
    <row r="5" spans="1:5" x14ac:dyDescent="0.3">
      <c r="A5" t="s">
        <v>84</v>
      </c>
      <c r="B5" s="8">
        <f>SUM(Ausencias!H2:H201)</f>
        <v>1</v>
      </c>
      <c r="D5" t="s">
        <v>52</v>
      </c>
      <c r="E5">
        <f>COUNTIF(Ausencias!E2:E201,"ENFERMEDAD")</f>
        <v>0</v>
      </c>
    </row>
    <row r="6" spans="1:5" x14ac:dyDescent="0.3">
      <c r="A6" t="s">
        <v>85</v>
      </c>
      <c r="B6" s="8">
        <f>COUNTIF(Ausencias!I2:I201,"PENDIENTE")</f>
        <v>0</v>
      </c>
      <c r="D6" t="s">
        <v>55</v>
      </c>
      <c r="E6">
        <f>COUNTIF(Ausencias!E2:E201,"ART")</f>
        <v>0</v>
      </c>
    </row>
    <row r="7" spans="1:5" x14ac:dyDescent="0.3">
      <c r="A7" t="s">
        <v>86</v>
      </c>
      <c r="B7" s="8">
        <f>COUNTIF(Ausencias!I2:I201,"APROBADO")</f>
        <v>1</v>
      </c>
      <c r="D7" t="s">
        <v>58</v>
      </c>
      <c r="E7">
        <f>COUNTIF(Ausencias!E2:E201,"PERMISO")</f>
        <v>0</v>
      </c>
    </row>
    <row r="8" spans="1:5" x14ac:dyDescent="0.3">
      <c r="A8" t="s">
        <v>87</v>
      </c>
      <c r="B8" s="8">
        <f>COUNTIF(Ausencias!E2:E201,"VACACIONES")</f>
        <v>0</v>
      </c>
      <c r="D8" t="s">
        <v>60</v>
      </c>
      <c r="E8">
        <f>COUNTIF(Ausencias!E2:E201,"FRANCO")</f>
        <v>0</v>
      </c>
    </row>
    <row r="9" spans="1:5" x14ac:dyDescent="0.3">
      <c r="D9" t="s">
        <v>62</v>
      </c>
      <c r="E9">
        <f>COUNTIF(Ausencias!E2:E201,"FERIADO")</f>
        <v>0</v>
      </c>
    </row>
    <row r="10" spans="1:5" x14ac:dyDescent="0.3">
      <c r="D10" t="s">
        <v>63</v>
      </c>
      <c r="E10">
        <f>COUNTIF(Ausencias!E2:E201,"HOME OFFICE")</f>
        <v>0</v>
      </c>
    </row>
    <row r="11" spans="1:5" x14ac:dyDescent="0.3">
      <c r="D11" t="s">
        <v>64</v>
      </c>
      <c r="E11">
        <f>COUNTIF(Ausencias!E2:E201,"SUSPENSION")</f>
        <v>0</v>
      </c>
    </row>
    <row r="12" spans="1:5" x14ac:dyDescent="0.3">
      <c r="D12" t="s">
        <v>65</v>
      </c>
      <c r="E12">
        <f>COUNTIF(Ausencias!E2:E201,"AUSENCIA JUSTIFICADA")</f>
        <v>0</v>
      </c>
    </row>
    <row r="13" spans="1:5" x14ac:dyDescent="0.3">
      <c r="D13" t="s">
        <v>66</v>
      </c>
      <c r="E13">
        <f>COUNTIF(Ausencias!E2:E201,"OTRO")</f>
        <v>0</v>
      </c>
    </row>
  </sheetData>
  <mergeCells count="1">
    <mergeCell ref="A1:D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D18151-406D-41AE-B82C-822B9E40F8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Empleados</vt:lpstr>
      <vt:lpstr>Config</vt:lpstr>
      <vt:lpstr>Ausencias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2026-05-08T12:17:45Z</dcterms:modified>
</cp:coreProperties>
</file>